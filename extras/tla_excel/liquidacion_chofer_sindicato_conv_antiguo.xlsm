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\Desktop\archivos servidor\"/>
    </mc:Choice>
  </mc:AlternateContent>
  <bookViews>
    <workbookView xWindow="0" yWindow="0" windowWidth="24000" windowHeight="10110" tabRatio="707" activeTab="1"/>
  </bookViews>
  <sheets>
    <sheet name="Resumen" sheetId="1" r:id="rId1"/>
    <sheet name="Prod" sheetId="2" r:id="rId2"/>
    <sheet name="Cliente" sheetId="5" r:id="rId3"/>
    <sheet name="Serv" sheetId="4" r:id="rId4"/>
    <sheet name="ASIS" sheetId="7" r:id="rId5"/>
    <sheet name="Rechazo" sheetId="8" r:id="rId6"/>
  </sheets>
  <definedNames>
    <definedName name="_xlnm.Print_Area" localSheetId="4">ASIS!$A$1:$L$56</definedName>
    <definedName name="_xlnm.Print_Area" localSheetId="2">Cliente!$A$1:$Q$47</definedName>
    <definedName name="_xlnm.Print_Area" localSheetId="1">Prod!$A$1:$U$48</definedName>
    <definedName name="_xlnm.Print_Area" localSheetId="5">Rechazo!$A$1:$L$56</definedName>
    <definedName name="_xlnm.Print_Area" localSheetId="0">Resumen!$A$1:$N$21</definedName>
    <definedName name="_xlnm.Print_Area" localSheetId="3">Serv!$A$1:$N$12</definedName>
  </definedNames>
  <calcPr calcId="152511"/>
</workbook>
</file>

<file path=xl/calcChain.xml><?xml version="1.0" encoding="utf-8"?>
<calcChain xmlns="http://schemas.openxmlformats.org/spreadsheetml/2006/main">
  <c r="S47" i="2" l="1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R47" i="2"/>
  <c r="Q47" i="2"/>
  <c r="P47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N47" i="2"/>
  <c r="M47" i="2"/>
  <c r="L47" i="2"/>
  <c r="J47" i="2"/>
  <c r="I47" i="2"/>
  <c r="G47" i="2"/>
  <c r="F47" i="2"/>
  <c r="E47" i="2"/>
  <c r="D47" i="2"/>
  <c r="C47" i="2"/>
  <c r="B47" i="2"/>
  <c r="P46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N46" i="5"/>
  <c r="M46" i="5"/>
  <c r="L46" i="5"/>
  <c r="I46" i="5"/>
  <c r="H46" i="5"/>
  <c r="G46" i="5"/>
  <c r="F46" i="5"/>
  <c r="E46" i="5"/>
  <c r="D46" i="5"/>
  <c r="C46" i="5"/>
  <c r="B46" i="5"/>
  <c r="J49" i="7"/>
  <c r="I49" i="7"/>
  <c r="H49" i="7"/>
  <c r="G49" i="7"/>
  <c r="F49" i="7"/>
  <c r="E49" i="7"/>
  <c r="H14" i="1" l="1"/>
  <c r="H13" i="1"/>
  <c r="H11" i="1"/>
  <c r="H10" i="1"/>
  <c r="H12" i="1"/>
  <c r="G49" i="2"/>
  <c r="H15" i="1" l="1"/>
  <c r="G49" i="1"/>
  <c r="G49" i="8" l="1"/>
  <c r="K46" i="5" l="1"/>
  <c r="J46" i="5"/>
</calcChain>
</file>

<file path=xl/sharedStrings.xml><?xml version="1.0" encoding="utf-8"?>
<sst xmlns="http://schemas.openxmlformats.org/spreadsheetml/2006/main" count="116" uniqueCount="74">
  <si>
    <t>Nombre</t>
  </si>
  <si>
    <t>Rut</t>
  </si>
  <si>
    <t>Cargo</t>
  </si>
  <si>
    <t>Fecha</t>
  </si>
  <si>
    <t>Resumen de Bono correspondientes:</t>
  </si>
  <si>
    <t>Bonos</t>
  </si>
  <si>
    <t>Total  a Pagar</t>
  </si>
  <si>
    <t xml:space="preserve">Bono Incentivo Produccion </t>
  </si>
  <si>
    <t>Bono Vuelta Adicional</t>
  </si>
  <si>
    <t>Bono Cliente</t>
  </si>
  <si>
    <t>Bono Rutero</t>
  </si>
  <si>
    <t>Bono Buen Servicio</t>
  </si>
  <si>
    <t>Total a Pagar</t>
  </si>
  <si>
    <t>Firma Trabajador</t>
  </si>
  <si>
    <t>Bono Incentivo Produccion</t>
  </si>
  <si>
    <t>8 o mas Pallets</t>
  </si>
  <si>
    <t>8 o más pallets</t>
  </si>
  <si>
    <t>6 Pallets</t>
  </si>
  <si>
    <t>Detalle Bono Produccion</t>
  </si>
  <si>
    <t>fallas:</t>
  </si>
  <si>
    <t xml:space="preserve">Total </t>
  </si>
  <si>
    <t>75% a 80%</t>
  </si>
  <si>
    <t>81% a 85%</t>
  </si>
  <si>
    <t>86% a 90%</t>
  </si>
  <si>
    <t>91% a 100%</t>
  </si>
  <si>
    <t>Bono
 Prod 2</t>
  </si>
  <si>
    <t>Bono 
Prod 6</t>
  </si>
  <si>
    <t>Bono Vuelta Ad. 2</t>
  </si>
  <si>
    <t>Bono Vuelta Ad. 8</t>
  </si>
  <si>
    <t>Bono Vuelta Ad. 6</t>
  </si>
  <si>
    <t>Bono 
Prod 8</t>
  </si>
  <si>
    <t>Bono Prod. Sub-Total</t>
  </si>
  <si>
    <t>Bono Vuelta Ad. Sub-Total</t>
  </si>
  <si>
    <t>Producción</t>
  </si>
  <si>
    <t>Bono Ruta</t>
  </si>
  <si>
    <t>Clientes</t>
  </si>
  <si>
    <t>Bono
 Cliente 2</t>
  </si>
  <si>
    <t>Bono Cliente Sub-Total</t>
  </si>
  <si>
    <t>Bono
 Cliente 6</t>
  </si>
  <si>
    <t>Bono
 Cliente 8</t>
  </si>
  <si>
    <t>Bono del mes:</t>
  </si>
  <si>
    <t>Choferes</t>
  </si>
  <si>
    <t>2 Pallets</t>
  </si>
  <si>
    <t xml:space="preserve">                               Bono Vuelta adicional</t>
  </si>
  <si>
    <t>Pallets</t>
  </si>
  <si>
    <t>Chofer</t>
  </si>
  <si>
    <t>DETALLE CHOFER BONO CLIENTE Y RUTA TRANSPORTES 1</t>
  </si>
  <si>
    <t>DETALLE CHOFER BONOS PRODUCCION Y VUELTA ADICIONAL TRANSPORTES 1</t>
  </si>
  <si>
    <t>DETALLE CHOFER BONO BUEN SERVICIO TRANSPORTES. 1</t>
  </si>
  <si>
    <t>RESUMEN BONOS TRANSPORTES CONTRATO. 1</t>
  </si>
  <si>
    <t>1</t>
  </si>
  <si>
    <t>DATOS DEL TRABAJADOR</t>
  </si>
  <si>
    <t>2</t>
  </si>
  <si>
    <t xml:space="preserve"> DETALLE ASISTENCIA</t>
  </si>
  <si>
    <t>FECHAS</t>
  </si>
  <si>
    <t>Tipo Asistencia</t>
  </si>
  <si>
    <t>día</t>
  </si>
  <si>
    <t>fecha</t>
  </si>
  <si>
    <t>Presente</t>
  </si>
  <si>
    <t>Vacaciones</t>
  </si>
  <si>
    <t>Total</t>
  </si>
  <si>
    <t>DETALLE ASISTENCIA</t>
  </si>
  <si>
    <t xml:space="preserve">RESUMEN ASISTENCIA </t>
  </si>
  <si>
    <t>Con  Goce de Sueldo</t>
  </si>
  <si>
    <t>Sin Goce de Sueldo</t>
  </si>
  <si>
    <t>Licencias</t>
  </si>
  <si>
    <t>Ausencia injustificada</t>
  </si>
  <si>
    <t>DETALLE ASISTENCIA CHOFER</t>
  </si>
  <si>
    <t>BONO RECHAZO</t>
  </si>
  <si>
    <t>Día</t>
  </si>
  <si>
    <t>Bono</t>
  </si>
  <si>
    <t>RESUMEN BONO RECHAZO</t>
  </si>
  <si>
    <t>DETALLE CHOFER</t>
  </si>
  <si>
    <t>DETALLE BONO RECHAZO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</si>
</sst>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5" formatCode="&quot;$&quot;#,##0;&quot;$&quot;\-#,##0"/>
    <numFmt numFmtId="42" formatCode="_ &quot;$&quot;* #,##0_ ;_ &quot;$&quot;* \-#,##0_ ;_ &quot;$&quot;* &quot;-&quot;_ ;_ @_ "/>
    <numFmt numFmtId="164" formatCode="&quot;$&quot;\ #,##0;[Red]\-&quot;$&quot;\ #,##0"/>
    <numFmt numFmtId="165" formatCode="mmm\-yy"/>
    <numFmt numFmtId="166" formatCode="_-&quot;$&quot;\ * #,##0_-;\-&quot;$&quot;\ * #,##0_-;_-&quot;$&quot;\ * &quot;-&quot;??_-;_-@_-"/>
    <numFmt numFmtId="167" formatCode="&quot;$&quot;\ #,##0.000"/>
    <numFmt numFmtId="168" formatCode="&quot;$&quot;\ #,##0"/>
    <numFmt numFmtId="169" formatCode="&quot;$&quot;\ #,##0.0;[Red]&quot;$&quot;\ #,##0.0"/>
    <numFmt numFmtId="170" formatCode="&quot;$&quot;\ #,##0.00"/>
    <numFmt numFmtId="171" formatCode="&quot;$&quot;#,##0"/>
    <numFmt numFmtId="172" formatCode="&quot;$&quot;#,##0.0"/>
    <numFmt numFmtId="173" formatCode="0.000000"/>
    <numFmt numFmtId="174" formatCode="0.0000"/>
    <numFmt numFmtId="175" formatCode="ddd"/>
    <numFmt numFmtId="176" formatCode="[$-C0A]d\-mmm\-yy;@"/>
  </numFmts>
  <fonts count="32">
    <font>
      <sz val="10"/>
      <name val="Arial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color indexed="8"/>
      <name val="Arial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7"/>
      <color indexed="8"/>
      <name val="Calibri"/>
      <family val="2"/>
    </font>
    <font>
      <sz val="8"/>
      <color indexed="8"/>
      <name val="Calibri"/>
      <family val="2"/>
    </font>
    <font>
      <b/>
      <sz val="10"/>
      <name val="Arial"/>
      <family val="2"/>
    </font>
    <font>
      <b/>
      <sz val="8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56"/>
      <name val="Stag Sans Light"/>
      <family val="2"/>
    </font>
    <font>
      <b/>
      <sz val="18"/>
      <color rgb="FF000000"/>
      <name val="Arial"/>
      <family val="2"/>
    </font>
    <font>
      <b/>
      <sz val="10"/>
      <color indexed="56"/>
      <name val="Stag Sans Light"/>
    </font>
    <font>
      <b/>
      <sz val="14"/>
      <color indexed="9"/>
      <name val="Stag Sans Light"/>
      <family val="2"/>
    </font>
    <font>
      <b/>
      <sz val="10"/>
      <color indexed="56"/>
      <name val="Stag Sans Light"/>
      <family val="2"/>
    </font>
    <font>
      <b/>
      <sz val="9"/>
      <color indexed="56"/>
      <name val="Stag Sans Light"/>
    </font>
    <font>
      <sz val="12"/>
      <color indexed="56"/>
      <name val="Stag Sans Light"/>
    </font>
    <font>
      <b/>
      <sz val="11"/>
      <color indexed="56"/>
      <name val="Stag Sans Light"/>
    </font>
    <font>
      <sz val="10"/>
      <color indexed="56"/>
      <name val="Stag Sans Light"/>
    </font>
    <font>
      <sz val="8"/>
      <color indexed="56"/>
      <name val="Stag Sans Light"/>
    </font>
    <font>
      <sz val="8"/>
      <color indexed="56"/>
      <name val="Stag Sans Light"/>
      <family val="2"/>
    </font>
    <font>
      <u/>
      <sz val="10"/>
      <color indexed="56"/>
      <name val="Stag Sans Light"/>
      <family val="2"/>
    </font>
    <font>
      <sz val="8"/>
      <color rgb="FF000000"/>
      <name val="Arial"/>
      <family val="2"/>
    </font>
    <font>
      <sz val="8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FF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 applyNumberFormat="0" applyFill="0" applyBorder="0" applyAlignment="0" applyProtection="0"/>
    <xf numFmtId="42" fontId="1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</cellStyleXfs>
  <cellXfs count="211">
    <xf numFmtId="0" fontId="0" fillId="0" borderId="0" xfId="0"/>
    <xf numFmtId="0" fontId="3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/>
    <xf numFmtId="0" fontId="5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/>
    <xf numFmtId="167" fontId="6" fillId="0" borderId="0" xfId="0" applyNumberFormat="1" applyFont="1" applyFill="1" applyBorder="1" applyAlignment="1" applyProtection="1"/>
    <xf numFmtId="168" fontId="6" fillId="0" borderId="0" xfId="0" applyNumberFormat="1" applyFont="1" applyFill="1" applyBorder="1" applyAlignment="1" applyProtection="1"/>
    <xf numFmtId="0" fontId="9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/>
    <xf numFmtId="0" fontId="8" fillId="0" borderId="0" xfId="0" applyFont="1" applyFill="1" applyBorder="1" applyAlignment="1" applyProtection="1">
      <alignment horizontal="center" vertical="center"/>
    </xf>
    <xf numFmtId="168" fontId="7" fillId="0" borderId="0" xfId="0" applyNumberFormat="1" applyFont="1" applyFill="1" applyBorder="1" applyAlignment="1" applyProtection="1"/>
    <xf numFmtId="168" fontId="7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Border="1" applyAlignment="1" applyProtection="1"/>
    <xf numFmtId="0" fontId="8" fillId="0" borderId="0" xfId="0" applyFont="1" applyFill="1" applyBorder="1" applyAlignment="1" applyProtection="1">
      <alignment vertical="center"/>
    </xf>
    <xf numFmtId="0" fontId="3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/>
    </xf>
    <xf numFmtId="168" fontId="7" fillId="0" borderId="0" xfId="0" applyNumberFormat="1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/>
    <xf numFmtId="0" fontId="12" fillId="0" borderId="0" xfId="0" applyFont="1" applyFill="1" applyBorder="1" applyAlignment="1" applyProtection="1"/>
    <xf numFmtId="0" fontId="12" fillId="0" borderId="0" xfId="0" applyFont="1" applyFill="1" applyBorder="1" applyAlignment="1" applyProtection="1">
      <alignment horizontal="center" vertical="center"/>
    </xf>
    <xf numFmtId="1" fontId="10" fillId="0" borderId="0" xfId="0" applyNumberFormat="1" applyFont="1" applyFill="1" applyBorder="1" applyAlignment="1" applyProtection="1">
      <alignment horizontal="center"/>
    </xf>
    <xf numFmtId="0" fontId="12" fillId="0" borderId="4" xfId="0" applyFont="1" applyFill="1" applyBorder="1" applyAlignment="1" applyProtection="1"/>
    <xf numFmtId="0" fontId="12" fillId="0" borderId="2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left" vertical="center"/>
    </xf>
    <xf numFmtId="0" fontId="8" fillId="0" borderId="0" xfId="0" applyFont="1" applyFill="1" applyBorder="1" applyAlignment="1" applyProtection="1">
      <alignment vertical="center" wrapText="1"/>
    </xf>
    <xf numFmtId="165" fontId="7" fillId="0" borderId="0" xfId="0" applyNumberFormat="1" applyFont="1" applyFill="1" applyBorder="1" applyAlignment="1" applyProtection="1"/>
    <xf numFmtId="170" fontId="7" fillId="0" borderId="0" xfId="0" applyNumberFormat="1" applyFont="1" applyFill="1" applyBorder="1" applyAlignment="1" applyProtection="1"/>
    <xf numFmtId="1" fontId="13" fillId="2" borderId="2" xfId="0" applyNumberFormat="1" applyFont="1" applyFill="1" applyBorder="1" applyAlignment="1" applyProtection="1"/>
    <xf numFmtId="1" fontId="10" fillId="0" borderId="2" xfId="0" applyNumberFormat="1" applyFont="1" applyFill="1" applyBorder="1" applyAlignment="1" applyProtection="1"/>
    <xf numFmtId="1" fontId="10" fillId="0" borderId="2" xfId="0" applyNumberFormat="1" applyFont="1" applyFill="1" applyBorder="1" applyAlignment="1" applyProtection="1">
      <alignment horizontal="center" vertical="center"/>
    </xf>
    <xf numFmtId="1" fontId="14" fillId="2" borderId="2" xfId="0" applyNumberFormat="1" applyFont="1" applyFill="1" applyBorder="1" applyAlignment="1" applyProtection="1"/>
    <xf numFmtId="0" fontId="2" fillId="0" borderId="0" xfId="0" applyFont="1" applyFill="1" applyBorder="1" applyAlignment="1" applyProtection="1"/>
    <xf numFmtId="1" fontId="12" fillId="0" borderId="2" xfId="0" applyNumberFormat="1" applyFont="1" applyFill="1" applyBorder="1" applyAlignment="1" applyProtection="1">
      <alignment horizontal="center"/>
    </xf>
    <xf numFmtId="0" fontId="13" fillId="2" borderId="0" xfId="0" applyFont="1" applyFill="1" applyBorder="1" applyAlignment="1" applyProtection="1"/>
    <xf numFmtId="0" fontId="12" fillId="0" borderId="0" xfId="0" applyFont="1" applyFill="1" applyBorder="1" applyAlignment="1" applyProtection="1">
      <alignment horizontal="center" vertical="center" wrapText="1"/>
    </xf>
    <xf numFmtId="3" fontId="12" fillId="0" borderId="0" xfId="0" applyNumberFormat="1" applyFont="1" applyFill="1" applyBorder="1" applyAlignment="1" applyProtection="1">
      <alignment horizontal="center"/>
    </xf>
    <xf numFmtId="1" fontId="14" fillId="2" borderId="0" xfId="0" applyNumberFormat="1" applyFont="1" applyFill="1" applyBorder="1" applyAlignment="1" applyProtection="1"/>
    <xf numFmtId="171" fontId="12" fillId="0" borderId="2" xfId="0" applyNumberFormat="1" applyFont="1" applyFill="1" applyBorder="1" applyAlignment="1" applyProtection="1">
      <alignment horizontal="center"/>
    </xf>
    <xf numFmtId="171" fontId="14" fillId="2" borderId="2" xfId="0" applyNumberFormat="1" applyFont="1" applyFill="1" applyBorder="1" applyAlignment="1" applyProtection="1"/>
    <xf numFmtId="171" fontId="10" fillId="0" borderId="2" xfId="0" applyNumberFormat="1" applyFont="1" applyFill="1" applyBorder="1" applyAlignment="1" applyProtection="1"/>
    <xf numFmtId="0" fontId="2" fillId="2" borderId="0" xfId="0" applyFont="1" applyFill="1" applyBorder="1" applyAlignment="1" applyProtection="1"/>
    <xf numFmtId="0" fontId="13" fillId="2" borderId="2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vertical="center"/>
    </xf>
    <xf numFmtId="171" fontId="12" fillId="0" borderId="0" xfId="0" applyNumberFormat="1" applyFont="1" applyFill="1" applyBorder="1" applyAlignment="1" applyProtection="1">
      <alignment horizontal="center"/>
    </xf>
    <xf numFmtId="168" fontId="7" fillId="0" borderId="0" xfId="0" applyNumberFormat="1" applyFont="1" applyFill="1" applyBorder="1" applyAlignment="1" applyProtection="1"/>
    <xf numFmtId="5" fontId="2" fillId="2" borderId="3" xfId="1" applyNumberFormat="1" applyFont="1" applyFill="1" applyBorder="1" applyAlignment="1" applyProtection="1"/>
    <xf numFmtId="5" fontId="2" fillId="2" borderId="6" xfId="1" applyNumberFormat="1" applyFont="1" applyFill="1" applyBorder="1" applyAlignment="1" applyProtection="1"/>
    <xf numFmtId="0" fontId="8" fillId="0" borderId="2" xfId="0" applyFont="1" applyFill="1" applyBorder="1" applyAlignment="1" applyProtection="1"/>
    <xf numFmtId="169" fontId="7" fillId="0" borderId="0" xfId="0" applyNumberFormat="1" applyFont="1" applyFill="1" applyBorder="1" applyAlignment="1" applyProtection="1"/>
    <xf numFmtId="0" fontId="12" fillId="0" borderId="2" xfId="0" applyFont="1" applyFill="1" applyBorder="1" applyAlignment="1" applyProtection="1">
      <alignment horizontal="center" vertical="center"/>
    </xf>
    <xf numFmtId="0" fontId="12" fillId="0" borderId="2" xfId="0" applyFont="1" applyFill="1" applyBorder="1" applyAlignment="1" applyProtection="1">
      <alignment horizontal="center" vertical="center"/>
    </xf>
    <xf numFmtId="171" fontId="14" fillId="2" borderId="0" xfId="0" applyNumberFormat="1" applyFont="1" applyFill="1" applyBorder="1" applyAlignment="1" applyProtection="1"/>
    <xf numFmtId="0" fontId="12" fillId="0" borderId="2" xfId="0" applyFont="1" applyFill="1" applyBorder="1" applyAlignment="1" applyProtection="1"/>
    <xf numFmtId="171" fontId="14" fillId="2" borderId="2" xfId="1" applyNumberFormat="1" applyFont="1" applyFill="1" applyBorder="1" applyAlignment="1" applyProtection="1"/>
    <xf numFmtId="49" fontId="18" fillId="0" borderId="0" xfId="2" applyNumberFormat="1" applyFont="1" applyFill="1" applyAlignment="1">
      <alignment horizontal="center"/>
    </xf>
    <xf numFmtId="0" fontId="18" fillId="0" borderId="0" xfId="2" applyFont="1" applyFill="1" applyAlignment="1">
      <alignment wrapText="1"/>
    </xf>
    <xf numFmtId="0" fontId="20" fillId="0" borderId="0" xfId="2" applyFont="1" applyFill="1"/>
    <xf numFmtId="49" fontId="21" fillId="4" borderId="0" xfId="2" applyNumberFormat="1" applyFont="1" applyFill="1" applyBorder="1" applyAlignment="1">
      <alignment vertical="center" wrapText="1"/>
    </xf>
    <xf numFmtId="49" fontId="22" fillId="0" borderId="9" xfId="2" applyNumberFormat="1" applyFont="1" applyFill="1" applyBorder="1" applyAlignment="1">
      <alignment horizontal="center"/>
    </xf>
    <xf numFmtId="0" fontId="18" fillId="0" borderId="0" xfId="2" applyFont="1" applyFill="1" applyBorder="1" applyAlignment="1">
      <alignment vertical="center" wrapText="1"/>
    </xf>
    <xf numFmtId="0" fontId="18" fillId="0" borderId="0" xfId="2" applyFont="1" applyFill="1" applyBorder="1" applyAlignment="1">
      <alignment horizontal="center" vertical="center" wrapText="1"/>
    </xf>
    <xf numFmtId="0" fontId="22" fillId="0" borderId="0" xfId="2" applyFont="1" applyFill="1" applyBorder="1" applyAlignment="1">
      <alignment horizontal="left" vertical="center" wrapText="1"/>
    </xf>
    <xf numFmtId="49" fontId="22" fillId="0" borderId="12" xfId="2" applyNumberFormat="1" applyFont="1" applyFill="1" applyBorder="1" applyAlignment="1">
      <alignment horizontal="center"/>
    </xf>
    <xf numFmtId="14" fontId="18" fillId="0" borderId="0" xfId="2" applyNumberFormat="1" applyFont="1" applyFill="1" applyBorder="1" applyAlignment="1">
      <alignment vertical="center" wrapText="1"/>
    </xf>
    <xf numFmtId="0" fontId="18" fillId="0" borderId="0" xfId="2" applyFont="1" applyFill="1" applyBorder="1" applyAlignment="1">
      <alignment horizontal="center"/>
    </xf>
    <xf numFmtId="49" fontId="22" fillId="0" borderId="0" xfId="2" applyNumberFormat="1" applyFont="1" applyFill="1" applyBorder="1" applyAlignment="1">
      <alignment horizontal="center"/>
    </xf>
    <xf numFmtId="0" fontId="13" fillId="5" borderId="0" xfId="3" applyFont="1" applyFill="1" applyBorder="1" applyAlignment="1">
      <alignment horizontal="center"/>
    </xf>
    <xf numFmtId="173" fontId="2" fillId="0" borderId="0" xfId="3" applyNumberFormat="1" applyBorder="1"/>
    <xf numFmtId="174" fontId="2" fillId="0" borderId="0" xfId="3" applyNumberFormat="1" applyBorder="1"/>
    <xf numFmtId="0" fontId="18" fillId="0" borderId="0" xfId="2" applyFont="1" applyFill="1" applyBorder="1" applyAlignment="1">
      <alignment horizontal="left" vertical="center" wrapText="1"/>
    </xf>
    <xf numFmtId="0" fontId="18" fillId="0" borderId="0" xfId="2" applyFont="1" applyFill="1" applyAlignment="1">
      <alignment horizontal="center"/>
    </xf>
    <xf numFmtId="0" fontId="18" fillId="0" borderId="0" xfId="2" applyFont="1" applyFill="1" applyAlignment="1">
      <alignment horizontal="center" wrapText="1"/>
    </xf>
    <xf numFmtId="49" fontId="22" fillId="0" borderId="9" xfId="2" applyNumberFormat="1" applyFont="1" applyFill="1" applyBorder="1" applyAlignment="1">
      <alignment horizontal="center" vertical="center" wrapText="1"/>
    </xf>
    <xf numFmtId="1" fontId="23" fillId="0" borderId="0" xfId="2" applyNumberFormat="1" applyFont="1" applyFill="1" applyBorder="1" applyAlignment="1">
      <alignment wrapText="1"/>
    </xf>
    <xf numFmtId="1" fontId="24" fillId="0" borderId="10" xfId="2" applyNumberFormat="1" applyFont="1" applyFill="1" applyBorder="1" applyAlignment="1">
      <alignment vertical="center" wrapText="1"/>
    </xf>
    <xf numFmtId="175" fontId="13" fillId="5" borderId="14" xfId="4" applyNumberFormat="1" applyFont="1" applyFill="1" applyBorder="1" applyAlignment="1" applyProtection="1">
      <alignment horizontal="center" vertical="center" wrapText="1"/>
    </xf>
    <xf numFmtId="0" fontId="13" fillId="5" borderId="15" xfId="4" applyFont="1" applyFill="1" applyBorder="1" applyAlignment="1" applyProtection="1">
      <alignment horizontal="center" vertical="center" wrapText="1"/>
    </xf>
    <xf numFmtId="0" fontId="13" fillId="5" borderId="0" xfId="4" applyFont="1" applyFill="1" applyBorder="1" applyAlignment="1" applyProtection="1">
      <alignment horizontal="center" vertical="center" wrapText="1"/>
    </xf>
    <xf numFmtId="175" fontId="26" fillId="0" borderId="9" xfId="2" applyNumberFormat="1" applyFont="1" applyFill="1" applyBorder="1" applyAlignment="1">
      <alignment horizontal="center" vertical="center" wrapText="1"/>
    </xf>
    <xf numFmtId="176" fontId="2" fillId="5" borderId="0" xfId="3" applyNumberFormat="1" applyFill="1" applyBorder="1" applyAlignment="1" applyProtection="1">
      <alignment horizontal="center" vertical="center"/>
    </xf>
    <xf numFmtId="1" fontId="26" fillId="5" borderId="9" xfId="2" applyNumberFormat="1" applyFont="1" applyFill="1" applyBorder="1" applyAlignment="1">
      <alignment horizontal="center" vertical="center" wrapText="1"/>
    </xf>
    <xf numFmtId="1" fontId="26" fillId="5" borderId="0" xfId="2" applyNumberFormat="1" applyFont="1" applyFill="1" applyBorder="1" applyAlignment="1">
      <alignment horizontal="center" vertical="center" wrapText="1"/>
    </xf>
    <xf numFmtId="1" fontId="26" fillId="5" borderId="0" xfId="2" applyNumberFormat="1" applyFont="1" applyFill="1" applyBorder="1" applyAlignment="1">
      <alignment horizontal="right" vertical="center" wrapText="1"/>
    </xf>
    <xf numFmtId="1" fontId="26" fillId="0" borderId="0" xfId="2" applyNumberFormat="1" applyFont="1" applyFill="1" applyBorder="1" applyAlignment="1">
      <alignment horizontal="right" vertical="center" wrapText="1"/>
    </xf>
    <xf numFmtId="0" fontId="26" fillId="0" borderId="0" xfId="2" applyFont="1" applyFill="1" applyBorder="1" applyAlignment="1">
      <alignment horizontal="right" vertical="top" wrapText="1"/>
    </xf>
    <xf numFmtId="1" fontId="27" fillId="0" borderId="3" xfId="2" applyNumberFormat="1" applyFont="1" applyFill="1" applyBorder="1" applyAlignment="1">
      <alignment horizontal="center" vertical="center" wrapText="1"/>
    </xf>
    <xf numFmtId="1" fontId="27" fillId="0" borderId="8" xfId="2" applyNumberFormat="1" applyFont="1" applyFill="1" applyBorder="1" applyAlignment="1">
      <alignment horizontal="center" vertical="center" wrapText="1"/>
    </xf>
    <xf numFmtId="168" fontId="27" fillId="0" borderId="0" xfId="2" applyNumberFormat="1" applyFont="1" applyFill="1" applyBorder="1" applyAlignment="1">
      <alignment vertical="top" wrapText="1"/>
    </xf>
    <xf numFmtId="0" fontId="18" fillId="0" borderId="0" xfId="2" applyFont="1" applyFill="1" applyBorder="1" applyAlignment="1">
      <alignment horizontal="left" vertical="top" wrapText="1"/>
    </xf>
    <xf numFmtId="1" fontId="28" fillId="0" borderId="0" xfId="2" applyNumberFormat="1" applyFont="1" applyFill="1" applyBorder="1" applyAlignment="1">
      <alignment vertical="top" wrapText="1"/>
    </xf>
    <xf numFmtId="49" fontId="22" fillId="0" borderId="12" xfId="2" applyNumberFormat="1" applyFont="1" applyFill="1" applyBorder="1" applyAlignment="1">
      <alignment horizontal="center" vertical="center" wrapText="1"/>
    </xf>
    <xf numFmtId="0" fontId="18" fillId="0" borderId="1" xfId="2" applyFont="1" applyFill="1" applyBorder="1" applyAlignment="1">
      <alignment horizontal="left" vertical="top" wrapText="1"/>
    </xf>
    <xf numFmtId="1" fontId="28" fillId="0" borderId="1" xfId="2" applyNumberFormat="1" applyFont="1" applyFill="1" applyBorder="1" applyAlignment="1">
      <alignment vertical="top" wrapText="1"/>
    </xf>
    <xf numFmtId="1" fontId="24" fillId="0" borderId="13" xfId="2" applyNumberFormat="1" applyFont="1" applyFill="1" applyBorder="1" applyAlignment="1">
      <alignment vertical="center" wrapText="1"/>
    </xf>
    <xf numFmtId="0" fontId="20" fillId="0" borderId="0" xfId="2" applyFont="1" applyFill="1" applyBorder="1" applyAlignment="1">
      <alignment horizontal="center" vertical="top" wrapText="1"/>
    </xf>
    <xf numFmtId="49" fontId="22" fillId="0" borderId="0" xfId="2" applyNumberFormat="1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center" vertical="top" wrapText="1"/>
    </xf>
    <xf numFmtId="49" fontId="22" fillId="0" borderId="1" xfId="2" applyNumberFormat="1" applyFont="1" applyFill="1" applyBorder="1" applyAlignment="1">
      <alignment horizontal="center" vertical="center" wrapText="1"/>
    </xf>
    <xf numFmtId="0" fontId="18" fillId="0" borderId="5" xfId="2" applyFont="1" applyFill="1" applyBorder="1" applyAlignment="1">
      <alignment horizontal="center" vertical="top" wrapText="1"/>
    </xf>
    <xf numFmtId="0" fontId="1" fillId="0" borderId="0" xfId="5"/>
    <xf numFmtId="0" fontId="18" fillId="0" borderId="0" xfId="2" applyFont="1" applyFill="1"/>
    <xf numFmtId="0" fontId="22" fillId="0" borderId="0" xfId="2" applyFont="1" applyFill="1" applyBorder="1" applyAlignment="1">
      <alignment wrapText="1"/>
    </xf>
    <xf numFmtId="0" fontId="18" fillId="0" borderId="0" xfId="2" applyFont="1" applyFill="1" applyBorder="1"/>
    <xf numFmtId="1" fontId="22" fillId="5" borderId="0" xfId="2" applyNumberFormat="1" applyFont="1" applyFill="1" applyBorder="1" applyAlignment="1">
      <alignment vertical="center" wrapText="1"/>
    </xf>
    <xf numFmtId="14" fontId="18" fillId="0" borderId="0" xfId="2" applyNumberFormat="1" applyFont="1" applyFill="1" applyBorder="1" applyAlignment="1">
      <alignment horizontal="center" vertical="center" wrapText="1"/>
    </xf>
    <xf numFmtId="0" fontId="1" fillId="0" borderId="0" xfId="5" applyBorder="1"/>
    <xf numFmtId="0" fontId="19" fillId="0" borderId="0" xfId="5" applyFont="1" applyAlignment="1">
      <alignment horizontal="left" vertical="center"/>
    </xf>
    <xf numFmtId="0" fontId="29" fillId="0" borderId="0" xfId="2" applyFont="1" applyFill="1" applyAlignment="1">
      <alignment wrapText="1"/>
    </xf>
    <xf numFmtId="0" fontId="30" fillId="6" borderId="16" xfId="0" applyFont="1" applyFill="1" applyBorder="1" applyAlignment="1">
      <alignment horizontal="center" vertical="center" wrapText="1"/>
    </xf>
    <xf numFmtId="0" fontId="30" fillId="6" borderId="17" xfId="0" applyFont="1" applyFill="1" applyBorder="1" applyAlignment="1">
      <alignment horizontal="center" vertical="center" wrapText="1"/>
    </xf>
    <xf numFmtId="0" fontId="30" fillId="6" borderId="1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 applyProtection="1"/>
    <xf numFmtId="165" fontId="7" fillId="0" borderId="1" xfId="0" applyNumberFormat="1" applyFont="1" applyFill="1" applyBorder="1" applyAlignment="1" applyProtection="1"/>
    <xf numFmtId="0" fontId="7" fillId="0" borderId="1" xfId="0" applyFont="1" applyFill="1" applyBorder="1" applyAlignment="1" applyProtection="1"/>
    <xf numFmtId="0" fontId="7" fillId="0" borderId="19" xfId="0" applyFont="1" applyFill="1" applyBorder="1" applyAlignment="1" applyProtection="1"/>
    <xf numFmtId="0" fontId="0" fillId="0" borderId="11" xfId="0" applyBorder="1"/>
    <xf numFmtId="0" fontId="0" fillId="0" borderId="9" xfId="0" applyBorder="1"/>
    <xf numFmtId="0" fontId="7" fillId="0" borderId="13" xfId="0" applyFont="1" applyFill="1" applyBorder="1" applyAlignment="1" applyProtection="1"/>
    <xf numFmtId="0" fontId="18" fillId="0" borderId="0" xfId="2" applyFont="1" applyFill="1" applyAlignment="1">
      <alignment horizontal="center" vertical="center" wrapText="1"/>
    </xf>
    <xf numFmtId="1" fontId="24" fillId="0" borderId="11" xfId="2" applyNumberFormat="1" applyFont="1" applyFill="1" applyBorder="1" applyAlignment="1">
      <alignment vertical="center" wrapText="1"/>
    </xf>
    <xf numFmtId="0" fontId="18" fillId="0" borderId="5" xfId="2" applyFont="1" applyFill="1" applyBorder="1" applyAlignment="1">
      <alignment wrapText="1"/>
    </xf>
    <xf numFmtId="1" fontId="26" fillId="5" borderId="22" xfId="2" applyNumberFormat="1" applyFont="1" applyFill="1" applyBorder="1" applyAlignment="1">
      <alignment vertical="center" wrapText="1"/>
    </xf>
    <xf numFmtId="1" fontId="26" fillId="5" borderId="23" xfId="2" applyNumberFormat="1" applyFont="1" applyFill="1" applyBorder="1" applyAlignment="1">
      <alignment vertical="center" wrapText="1"/>
    </xf>
    <xf numFmtId="1" fontId="3" fillId="0" borderId="0" xfId="0" applyNumberFormat="1" applyFont="1" applyFill="1" applyBorder="1" applyAlignment="1" applyProtection="1"/>
    <xf numFmtId="0" fontId="3" fillId="0" borderId="2" xfId="0" applyFont="1" applyFill="1" applyBorder="1" applyAlignment="1" applyProtection="1">
      <alignment horizontal="left" vertical="center"/>
    </xf>
    <xf numFmtId="171" fontId="11" fillId="2" borderId="3" xfId="0" applyNumberFormat="1" applyFont="1" applyFill="1" applyBorder="1" applyAlignment="1" applyProtection="1">
      <alignment horizontal="center" vertical="center" wrapText="1"/>
    </xf>
    <xf numFmtId="171" fontId="11" fillId="2" borderId="6" xfId="0" applyNumberFormat="1" applyFont="1" applyFill="1" applyBorder="1" applyAlignment="1" applyProtection="1">
      <alignment horizontal="center" vertical="center" wrapText="1"/>
    </xf>
    <xf numFmtId="0" fontId="5" fillId="0" borderId="5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left"/>
    </xf>
    <xf numFmtId="0" fontId="5" fillId="0" borderId="2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/>
    <xf numFmtId="0" fontId="16" fillId="2" borderId="2" xfId="0" applyFont="1" applyFill="1" applyBorder="1" applyAlignment="1" applyProtection="1"/>
    <xf numFmtId="0" fontId="8" fillId="0" borderId="0" xfId="0" applyFont="1" applyFill="1" applyBorder="1" applyAlignment="1" applyProtection="1">
      <alignment horizontal="left"/>
    </xf>
    <xf numFmtId="0" fontId="7" fillId="0" borderId="2" xfId="0" applyFont="1" applyFill="1" applyBorder="1" applyAlignment="1" applyProtection="1">
      <alignment horizontal="center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left"/>
    </xf>
    <xf numFmtId="168" fontId="7" fillId="0" borderId="0" xfId="0" applyNumberFormat="1" applyFont="1" applyFill="1" applyBorder="1" applyAlignment="1" applyProtection="1"/>
    <xf numFmtId="0" fontId="8" fillId="0" borderId="2" xfId="0" applyFont="1" applyFill="1" applyBorder="1" applyAlignment="1" applyProtection="1">
      <alignment horizontal="center"/>
    </xf>
    <xf numFmtId="172" fontId="7" fillId="0" borderId="2" xfId="1" applyNumberFormat="1" applyFont="1" applyFill="1" applyBorder="1" applyAlignment="1" applyProtection="1">
      <alignment horizontal="center" vertical="center"/>
    </xf>
    <xf numFmtId="171" fontId="7" fillId="0" borderId="2" xfId="0" applyNumberFormat="1" applyFont="1" applyFill="1" applyBorder="1" applyAlignment="1" applyProtection="1">
      <alignment horizontal="center"/>
    </xf>
    <xf numFmtId="0" fontId="12" fillId="0" borderId="2" xfId="0" applyFont="1" applyFill="1" applyBorder="1" applyAlignment="1" applyProtection="1">
      <alignment horizontal="center"/>
    </xf>
    <xf numFmtId="171" fontId="7" fillId="0" borderId="2" xfId="1" applyNumberFormat="1" applyFont="1" applyFill="1" applyBorder="1" applyAlignment="1" applyProtection="1">
      <alignment horizontal="center"/>
    </xf>
    <xf numFmtId="0" fontId="12" fillId="0" borderId="0" xfId="0" applyFont="1" applyFill="1" applyBorder="1" applyAlignment="1" applyProtection="1">
      <alignment horizontal="center" vertical="center" wrapText="1"/>
    </xf>
    <xf numFmtId="1" fontId="10" fillId="0" borderId="2" xfId="0" applyNumberFormat="1" applyFont="1" applyFill="1" applyBorder="1" applyAlignment="1" applyProtection="1">
      <alignment horizontal="center"/>
    </xf>
    <xf numFmtId="1" fontId="12" fillId="0" borderId="2" xfId="0" applyNumberFormat="1" applyFont="1" applyFill="1" applyBorder="1" applyAlignment="1" applyProtection="1">
      <alignment horizontal="center"/>
    </xf>
    <xf numFmtId="172" fontId="7" fillId="0" borderId="2" xfId="0" applyNumberFormat="1" applyFont="1" applyFill="1" applyBorder="1" applyAlignment="1" applyProtection="1">
      <alignment horizontal="center"/>
    </xf>
    <xf numFmtId="5" fontId="7" fillId="0" borderId="2" xfId="1" applyNumberFormat="1" applyFont="1" applyFill="1" applyBorder="1" applyAlignment="1" applyProtection="1">
      <alignment horizontal="center" vertical="center"/>
    </xf>
    <xf numFmtId="0" fontId="8" fillId="0" borderId="2" xfId="0" applyFont="1" applyFill="1" applyBorder="1" applyAlignment="1" applyProtection="1"/>
    <xf numFmtId="0" fontId="7" fillId="0" borderId="0" xfId="0" applyFont="1" applyFill="1" applyBorder="1" applyAlignment="1" applyProtection="1">
      <alignment horizontal="left" vertical="center"/>
    </xf>
    <xf numFmtId="171" fontId="7" fillId="0" borderId="0" xfId="0" applyNumberFormat="1" applyFont="1" applyFill="1" applyBorder="1" applyAlignment="1" applyProtection="1">
      <alignment horizontal="center"/>
    </xf>
    <xf numFmtId="0" fontId="12" fillId="0" borderId="7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166" fontId="3" fillId="0" borderId="0" xfId="0" applyNumberFormat="1" applyFont="1" applyFill="1" applyBorder="1" applyAlignment="1" applyProtection="1">
      <alignment horizontal="center"/>
    </xf>
    <xf numFmtId="164" fontId="3" fillId="0" borderId="2" xfId="0" applyNumberFormat="1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9" fontId="3" fillId="0" borderId="2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168" fontId="20" fillId="0" borderId="0" xfId="2" applyNumberFormat="1" applyFont="1" applyFill="1" applyBorder="1" applyAlignment="1">
      <alignment horizontal="center" vertical="top" wrapText="1"/>
    </xf>
    <xf numFmtId="1" fontId="24" fillId="0" borderId="3" xfId="2" applyNumberFormat="1" applyFont="1" applyFill="1" applyBorder="1" applyAlignment="1">
      <alignment horizontal="center" vertical="center" wrapText="1"/>
    </xf>
    <xf numFmtId="1" fontId="24" fillId="0" borderId="6" xfId="2" applyNumberFormat="1" applyFont="1" applyFill="1" applyBorder="1" applyAlignment="1">
      <alignment horizontal="center" vertical="center" wrapText="1"/>
    </xf>
    <xf numFmtId="1" fontId="25" fillId="0" borderId="0" xfId="2" applyNumberFormat="1" applyFont="1" applyFill="1" applyBorder="1" applyAlignment="1">
      <alignment horizontal="center" vertical="center" wrapText="1"/>
    </xf>
    <xf numFmtId="49" fontId="21" fillId="3" borderId="9" xfId="2" applyNumberFormat="1" applyFont="1" applyFill="1" applyBorder="1" applyAlignment="1">
      <alignment horizontal="center" vertical="center" wrapText="1"/>
    </xf>
    <xf numFmtId="49" fontId="21" fillId="3" borderId="0" xfId="2" applyNumberFormat="1" applyFont="1" applyFill="1" applyBorder="1" applyAlignment="1">
      <alignment horizontal="center" vertical="center" wrapText="1"/>
    </xf>
    <xf numFmtId="49" fontId="21" fillId="3" borderId="11" xfId="2" applyNumberFormat="1" applyFont="1" applyFill="1" applyBorder="1" applyAlignment="1">
      <alignment horizontal="center" vertical="center" wrapText="1"/>
    </xf>
    <xf numFmtId="1" fontId="23" fillId="0" borderId="0" xfId="2" applyNumberFormat="1" applyFont="1" applyFill="1" applyBorder="1" applyAlignment="1">
      <alignment horizontal="center" wrapText="1"/>
    </xf>
    <xf numFmtId="1" fontId="23" fillId="0" borderId="11" xfId="2" applyNumberFormat="1" applyFont="1" applyFill="1" applyBorder="1" applyAlignment="1">
      <alignment horizontal="center" wrapText="1"/>
    </xf>
    <xf numFmtId="1" fontId="25" fillId="0" borderId="3" xfId="2" applyNumberFormat="1" applyFont="1" applyFill="1" applyBorder="1" applyAlignment="1" applyProtection="1">
      <alignment horizontal="center" vertical="center"/>
      <protection locked="0"/>
    </xf>
    <xf numFmtId="1" fontId="25" fillId="0" borderId="8" xfId="2" applyNumberFormat="1" applyFont="1" applyFill="1" applyBorder="1" applyAlignment="1" applyProtection="1">
      <alignment horizontal="center" vertical="center"/>
      <protection locked="0"/>
    </xf>
    <xf numFmtId="0" fontId="18" fillId="0" borderId="3" xfId="2" applyFont="1" applyFill="1" applyBorder="1" applyAlignment="1">
      <alignment horizontal="center" vertical="top" wrapText="1"/>
    </xf>
    <xf numFmtId="0" fontId="18" fillId="0" borderId="6" xfId="2" applyFont="1" applyFill="1" applyBorder="1" applyAlignment="1">
      <alignment horizontal="center" vertical="top" wrapText="1"/>
    </xf>
    <xf numFmtId="49" fontId="21" fillId="3" borderId="8" xfId="2" applyNumberFormat="1" applyFont="1" applyFill="1" applyBorder="1" applyAlignment="1">
      <alignment horizontal="center" vertical="center" wrapText="1"/>
    </xf>
    <xf numFmtId="49" fontId="21" fillId="3" borderId="3" xfId="2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6" xfId="0" applyBorder="1" applyAlignment="1">
      <alignment horizontal="left"/>
    </xf>
    <xf numFmtId="1" fontId="26" fillId="5" borderId="9" xfId="2" applyNumberFormat="1" applyFont="1" applyFill="1" applyBorder="1" applyAlignment="1">
      <alignment horizontal="center" vertical="center" wrapText="1"/>
    </xf>
    <xf numFmtId="1" fontId="26" fillId="5" borderId="0" xfId="2" applyNumberFormat="1" applyFont="1" applyFill="1" applyBorder="1" applyAlignment="1">
      <alignment horizontal="center" vertical="center" wrapText="1"/>
    </xf>
    <xf numFmtId="1" fontId="26" fillId="5" borderId="11" xfId="2" applyNumberFormat="1" applyFont="1" applyFill="1" applyBorder="1" applyAlignment="1">
      <alignment horizontal="center" vertical="center" wrapText="1"/>
    </xf>
    <xf numFmtId="1" fontId="26" fillId="5" borderId="12" xfId="2" applyNumberFormat="1" applyFont="1" applyFill="1" applyBorder="1" applyAlignment="1">
      <alignment horizontal="center" vertical="center" wrapText="1"/>
    </xf>
    <xf numFmtId="1" fontId="26" fillId="5" borderId="1" xfId="2" applyNumberFormat="1" applyFont="1" applyFill="1" applyBorder="1" applyAlignment="1">
      <alignment horizontal="center" vertical="center" wrapText="1"/>
    </xf>
    <xf numFmtId="1" fontId="26" fillId="5" borderId="13" xfId="2" applyNumberFormat="1" applyFont="1" applyFill="1" applyBorder="1" applyAlignment="1">
      <alignment horizontal="center" vertical="center" wrapText="1"/>
    </xf>
    <xf numFmtId="175" fontId="26" fillId="0" borderId="9" xfId="2" applyNumberFormat="1" applyFont="1" applyFill="1" applyBorder="1" applyAlignment="1">
      <alignment horizontal="center" vertical="center" wrapText="1"/>
    </xf>
    <xf numFmtId="175" fontId="26" fillId="0" borderId="11" xfId="2" applyNumberFormat="1" applyFont="1" applyFill="1" applyBorder="1" applyAlignment="1">
      <alignment horizontal="center" vertical="center" wrapText="1"/>
    </xf>
    <xf numFmtId="175" fontId="26" fillId="0" borderId="12" xfId="2" applyNumberFormat="1" applyFont="1" applyFill="1" applyBorder="1" applyAlignment="1">
      <alignment horizontal="center" vertical="center" wrapText="1"/>
    </xf>
    <xf numFmtId="175" fontId="26" fillId="0" borderId="13" xfId="2" applyNumberFormat="1" applyFont="1" applyFill="1" applyBorder="1" applyAlignment="1">
      <alignment horizontal="center" vertical="center" wrapText="1"/>
    </xf>
    <xf numFmtId="175" fontId="13" fillId="5" borderId="3" xfId="4" applyNumberFormat="1" applyFont="1" applyFill="1" applyBorder="1" applyAlignment="1" applyProtection="1">
      <alignment horizontal="center" vertical="center" wrapText="1"/>
    </xf>
    <xf numFmtId="175" fontId="13" fillId="5" borderId="6" xfId="4" applyNumberFormat="1" applyFont="1" applyFill="1" applyBorder="1" applyAlignment="1" applyProtection="1">
      <alignment horizontal="center" vertical="center" wrapText="1"/>
    </xf>
    <xf numFmtId="0" fontId="31" fillId="6" borderId="20" xfId="0" applyFont="1" applyFill="1" applyBorder="1" applyAlignment="1">
      <alignment horizontal="center" vertical="center" wrapText="1"/>
    </xf>
    <xf numFmtId="0" fontId="30" fillId="6" borderId="21" xfId="0" applyFont="1" applyFill="1" applyBorder="1" applyAlignment="1">
      <alignment horizontal="center" vertical="center" wrapText="1"/>
    </xf>
    <xf numFmtId="0" fontId="31" fillId="6" borderId="5" xfId="0" applyFont="1" applyFill="1" applyBorder="1" applyAlignment="1">
      <alignment horizontal="center" vertical="center" wrapText="1"/>
    </xf>
    <xf numFmtId="0" fontId="30" fillId="6" borderId="5" xfId="0" applyFont="1" applyFill="1" applyBorder="1" applyAlignment="1">
      <alignment horizontal="center" vertical="center" wrapText="1"/>
    </xf>
    <xf numFmtId="0" fontId="30" fillId="6" borderId="19" xfId="0" applyFont="1" applyFill="1" applyBorder="1" applyAlignment="1">
      <alignment horizontal="center" vertical="center" wrapText="1"/>
    </xf>
    <xf numFmtId="1" fontId="26" fillId="5" borderId="24" xfId="2" applyNumberFormat="1" applyFont="1" applyFill="1" applyBorder="1" applyAlignment="1">
      <alignment horizontal="center" vertical="center" wrapText="1"/>
    </xf>
    <xf numFmtId="1" fontId="26" fillId="5" borderId="5" xfId="2" applyNumberFormat="1" applyFont="1" applyFill="1" applyBorder="1" applyAlignment="1">
      <alignment horizontal="center" vertical="center" wrapText="1"/>
    </xf>
    <xf numFmtId="1" fontId="26" fillId="5" borderId="19" xfId="2" applyNumberFormat="1" applyFont="1" applyFill="1" applyBorder="1" applyAlignment="1">
      <alignment horizontal="center" vertical="center" wrapText="1"/>
    </xf>
    <xf numFmtId="1" fontId="27" fillId="0" borderId="12" xfId="2" applyNumberFormat="1" applyFont="1" applyFill="1" applyBorder="1" applyAlignment="1">
      <alignment horizontal="center" vertical="center" wrapText="1"/>
    </xf>
    <xf numFmtId="1" fontId="27" fillId="0" borderId="1" xfId="2" applyNumberFormat="1" applyFont="1" applyFill="1" applyBorder="1" applyAlignment="1">
      <alignment horizontal="center" vertical="center" wrapText="1"/>
    </xf>
    <xf numFmtId="1" fontId="27" fillId="0" borderId="13" xfId="2" applyNumberFormat="1" applyFont="1" applyFill="1" applyBorder="1" applyAlignment="1">
      <alignment horizontal="center" vertical="center" wrapText="1"/>
    </xf>
    <xf numFmtId="1" fontId="24" fillId="0" borderId="8" xfId="2" applyNumberFormat="1" applyFont="1" applyFill="1" applyBorder="1" applyAlignment="1">
      <alignment horizontal="center" vertical="center" wrapText="1"/>
    </xf>
    <xf numFmtId="0" fontId="18" fillId="0" borderId="8" xfId="2" applyFont="1" applyFill="1" applyBorder="1" applyAlignment="1">
      <alignment horizontal="center" vertical="top" wrapText="1"/>
    </xf>
  </cellXfs>
  <cellStyles count="6">
    <cellStyle name="Moneda [0]" xfId="1" builtinId="7"/>
    <cellStyle name="Normal" xfId="0" builtinId="0"/>
    <cellStyle name="Normal 2" xfId="5"/>
    <cellStyle name="Normal 2 2" xfId="3"/>
    <cellStyle name="Normal 3 2" xfId="2"/>
    <cellStyle name="Normal 3 3 2" xfId="4"/>
  </cellStyles>
  <dxfs count="2">
    <dxf>
      <fill>
        <patternFill>
          <bgColor indexed="52"/>
        </patternFill>
      </fill>
    </dxf>
    <dxf>
      <fill>
        <patternFill>
          <bgColor indexed="5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V49"/>
  <sheetViews>
    <sheetView view="pageBreakPreview" zoomScaleNormal="100" zoomScaleSheetLayoutView="100" workbookViewId="0">
      <selection activeCell="H16" sqref="H16"/>
    </sheetView>
  </sheetViews>
  <sheetFormatPr baseColWidth="10" defaultRowHeight="15"/>
  <cols>
    <col min="1" max="1" width="5.42578125" style="1" customWidth="1"/>
    <col min="2" max="2" width="5.7109375" style="1" customWidth="1"/>
    <col min="3" max="12" width="6.7109375" style="1" customWidth="1"/>
    <col min="13" max="14" width="2.140625" style="1" customWidth="1"/>
    <col min="15" max="15" width="8.28515625" style="1" customWidth="1"/>
    <col min="16" max="16" width="8.140625" style="1" customWidth="1"/>
    <col min="17" max="19" width="6.7109375" style="1" customWidth="1"/>
    <col min="20" max="20" width="8.7109375" style="1" customWidth="1"/>
    <col min="21" max="21" width="7.140625" style="1" customWidth="1"/>
    <col min="22" max="22" width="12.28515625" style="1" customWidth="1"/>
  </cols>
  <sheetData>
    <row r="1" spans="2:15" ht="29.25" customHeight="1">
      <c r="B1" s="2" t="s">
        <v>49</v>
      </c>
    </row>
    <row r="2" spans="2:15" ht="15.75" customHeight="1">
      <c r="B2" s="137" t="s">
        <v>0</v>
      </c>
      <c r="C2" s="137"/>
      <c r="D2" s="139"/>
      <c r="E2" s="139"/>
      <c r="F2" s="139"/>
      <c r="G2" s="139"/>
      <c r="H2" s="139"/>
      <c r="I2" s="139"/>
      <c r="J2" s="139"/>
      <c r="K2" s="139"/>
      <c r="L2" s="139"/>
      <c r="M2" s="48"/>
    </row>
    <row r="3" spans="2:15" ht="15.75" customHeight="1">
      <c r="B3" s="137" t="s">
        <v>1</v>
      </c>
      <c r="C3" s="137"/>
      <c r="D3" s="139"/>
      <c r="E3" s="139"/>
      <c r="F3" s="139"/>
      <c r="G3" s="139"/>
      <c r="H3" s="139"/>
      <c r="I3" s="139"/>
      <c r="J3" s="139"/>
      <c r="K3" s="139"/>
      <c r="L3" s="139"/>
      <c r="M3" s="48"/>
    </row>
    <row r="4" spans="2:15">
      <c r="B4" s="137" t="s">
        <v>2</v>
      </c>
      <c r="C4" s="137"/>
      <c r="D4" s="139"/>
      <c r="E4" s="139"/>
      <c r="F4" s="139"/>
      <c r="G4" s="139"/>
      <c r="H4" s="139"/>
      <c r="I4" s="139"/>
      <c r="J4" s="139"/>
      <c r="K4" s="139"/>
      <c r="L4" s="139"/>
      <c r="M4" s="48"/>
    </row>
    <row r="5" spans="2:15" ht="15" customHeight="1">
      <c r="B5" s="137" t="s">
        <v>3</v>
      </c>
      <c r="C5" s="137"/>
      <c r="D5" s="139"/>
      <c r="E5" s="139"/>
      <c r="F5" s="139"/>
      <c r="G5" s="139"/>
      <c r="H5" s="139"/>
      <c r="I5" s="139"/>
      <c r="J5" s="139"/>
      <c r="K5" s="139"/>
      <c r="L5" s="139"/>
      <c r="M5" s="48"/>
      <c r="N5" s="4"/>
      <c r="O5" s="4"/>
    </row>
    <row r="6" spans="2:15" ht="15" customHeight="1">
      <c r="B6" s="5"/>
      <c r="C6" s="3"/>
      <c r="N6" s="4"/>
      <c r="O6" s="4"/>
    </row>
    <row r="7" spans="2:15">
      <c r="B7" s="5" t="s">
        <v>4</v>
      </c>
    </row>
    <row r="8" spans="2:15">
      <c r="B8" s="5"/>
    </row>
    <row r="9" spans="2:15">
      <c r="B9" s="138" t="s">
        <v>5</v>
      </c>
      <c r="C9" s="138"/>
      <c r="D9" s="138"/>
      <c r="E9" s="138"/>
      <c r="F9" s="138"/>
      <c r="G9" s="138"/>
      <c r="H9" s="138" t="s">
        <v>6</v>
      </c>
      <c r="I9" s="138"/>
    </row>
    <row r="10" spans="2:15">
      <c r="B10" s="132" t="s">
        <v>7</v>
      </c>
      <c r="C10" s="132"/>
      <c r="D10" s="132"/>
      <c r="E10" s="132"/>
      <c r="F10" s="132"/>
      <c r="G10" s="132"/>
      <c r="H10" s="133">
        <f>Prod!O47</f>
        <v>0</v>
      </c>
      <c r="I10" s="134"/>
    </row>
    <row r="11" spans="2:15">
      <c r="B11" s="132" t="s">
        <v>8</v>
      </c>
      <c r="C11" s="132"/>
      <c r="D11" s="132"/>
      <c r="E11" s="132"/>
      <c r="F11" s="132"/>
      <c r="G11" s="132"/>
      <c r="H11" s="133">
        <f>Prod!S47</f>
        <v>0</v>
      </c>
      <c r="I11" s="134"/>
    </row>
    <row r="12" spans="2:15">
      <c r="B12" s="132" t="s">
        <v>9</v>
      </c>
      <c r="C12" s="132"/>
      <c r="D12" s="132"/>
      <c r="E12" s="132"/>
      <c r="F12" s="132"/>
      <c r="G12" s="132"/>
      <c r="H12" s="133">
        <f>+Cliente!O46+Rechazo!G49:J49</f>
        <v>0</v>
      </c>
      <c r="I12" s="134"/>
    </row>
    <row r="13" spans="2:15">
      <c r="B13" s="132" t="s">
        <v>10</v>
      </c>
      <c r="C13" s="132"/>
      <c r="D13" s="132"/>
      <c r="E13" s="132"/>
      <c r="F13" s="132"/>
      <c r="G13" s="132"/>
      <c r="H13" s="133">
        <f>+Cliente!P46</f>
        <v>0</v>
      </c>
      <c r="I13" s="134"/>
    </row>
    <row r="14" spans="2:15">
      <c r="B14" s="132" t="s">
        <v>11</v>
      </c>
      <c r="C14" s="132"/>
      <c r="D14" s="132"/>
      <c r="E14" s="132"/>
      <c r="F14" s="132"/>
      <c r="G14" s="132"/>
      <c r="H14" s="133">
        <f>+Serv!E9</f>
        <v>0</v>
      </c>
      <c r="I14" s="134"/>
    </row>
    <row r="15" spans="2:15">
      <c r="C15" s="6"/>
      <c r="F15" s="136" t="s">
        <v>12</v>
      </c>
      <c r="G15" s="136"/>
      <c r="H15" s="133">
        <f>SUM(H10:I14)</f>
        <v>0</v>
      </c>
      <c r="I15" s="134"/>
    </row>
    <row r="19" spans="6:9">
      <c r="F19" s="7"/>
      <c r="G19" s="7"/>
      <c r="H19" s="7"/>
      <c r="I19" s="7"/>
    </row>
    <row r="20" spans="6:9">
      <c r="F20" s="135" t="s">
        <v>13</v>
      </c>
      <c r="G20" s="135"/>
      <c r="H20" s="135"/>
      <c r="I20" s="135"/>
    </row>
    <row r="49" spans="7:7">
      <c r="G49" s="1">
        <f>SUM(G17:J48)</f>
        <v>0</v>
      </c>
    </row>
  </sheetData>
  <mergeCells count="23">
    <mergeCell ref="B2:C2"/>
    <mergeCell ref="B10:G10"/>
    <mergeCell ref="H9:I9"/>
    <mergeCell ref="B9:G9"/>
    <mergeCell ref="B5:C5"/>
    <mergeCell ref="B4:C4"/>
    <mergeCell ref="B3:C3"/>
    <mergeCell ref="H10:I10"/>
    <mergeCell ref="D2:L2"/>
    <mergeCell ref="D3:L3"/>
    <mergeCell ref="D4:L4"/>
    <mergeCell ref="D5:L5"/>
    <mergeCell ref="B11:G11"/>
    <mergeCell ref="H11:I11"/>
    <mergeCell ref="F20:I20"/>
    <mergeCell ref="F15:G15"/>
    <mergeCell ref="B14:G14"/>
    <mergeCell ref="B13:G13"/>
    <mergeCell ref="B12:G12"/>
    <mergeCell ref="H15:I15"/>
    <mergeCell ref="H14:I14"/>
    <mergeCell ref="H13:I13"/>
    <mergeCell ref="H12:I12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X49"/>
  <sheetViews>
    <sheetView tabSelected="1" view="pageBreakPreview" topLeftCell="A36" zoomScale="115" zoomScaleNormal="100" zoomScaleSheetLayoutView="115" workbookViewId="0">
      <selection activeCell="S48" sqref="S48"/>
    </sheetView>
  </sheetViews>
  <sheetFormatPr baseColWidth="10" defaultRowHeight="15"/>
  <cols>
    <col min="1" max="1" width="10.28515625" style="1" customWidth="1"/>
    <col min="2" max="2" width="4.28515625" style="1" customWidth="1"/>
    <col min="3" max="6" width="5.7109375" style="1" customWidth="1"/>
    <col min="7" max="7" width="5.42578125" style="1" customWidth="1"/>
    <col min="8" max="8" width="0.140625" style="1" hidden="1" customWidth="1"/>
    <col min="9" max="9" width="5.85546875" style="1" customWidth="1"/>
    <col min="10" max="10" width="5.5703125" style="1" customWidth="1"/>
    <col min="11" max="11" width="1.42578125" style="1" hidden="1" customWidth="1"/>
    <col min="12" max="14" width="7.42578125" style="1" customWidth="1"/>
    <col min="15" max="15" width="7.5703125" style="1" customWidth="1"/>
    <col min="16" max="16" width="7.140625" style="1" customWidth="1"/>
    <col min="17" max="17" width="7.42578125" style="1" customWidth="1"/>
    <col min="18" max="18" width="7.140625" style="1" customWidth="1"/>
    <col min="19" max="19" width="7.28515625" style="1" customWidth="1"/>
    <col min="20" max="20" width="7" style="1" customWidth="1"/>
    <col min="21" max="21" width="2.28515625" style="1" customWidth="1"/>
    <col min="22" max="22" width="8.42578125" customWidth="1"/>
    <col min="23" max="23" width="5.5703125" customWidth="1"/>
  </cols>
  <sheetData>
    <row r="1" spans="1:24" ht="15" customHeight="1">
      <c r="A1" s="31" t="s">
        <v>47</v>
      </c>
      <c r="B1" s="12"/>
      <c r="C1" s="12"/>
      <c r="D1" s="12"/>
      <c r="E1" s="12"/>
      <c r="F1" s="31"/>
      <c r="G1" s="12"/>
      <c r="H1" s="12"/>
      <c r="I1" s="12"/>
      <c r="J1" s="12"/>
      <c r="K1" s="12"/>
      <c r="L1" s="12"/>
      <c r="M1" s="12"/>
      <c r="N1" s="12"/>
      <c r="O1" s="12"/>
      <c r="P1" s="12"/>
    </row>
    <row r="2" spans="1:24" ht="15.75" customHeight="1">
      <c r="A2" s="141" t="s">
        <v>0</v>
      </c>
      <c r="B2" s="141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2"/>
    </row>
    <row r="3" spans="1:24" ht="15.75" customHeight="1">
      <c r="A3" s="141" t="s">
        <v>1</v>
      </c>
      <c r="B3" s="141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2"/>
    </row>
    <row r="4" spans="1:24">
      <c r="A4" s="141" t="s">
        <v>2</v>
      </c>
      <c r="B4" s="141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2"/>
    </row>
    <row r="5" spans="1:24" ht="15" customHeight="1">
      <c r="A5" s="141" t="s">
        <v>3</v>
      </c>
      <c r="B5" s="141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32"/>
      <c r="Q5" s="4"/>
      <c r="R5" s="4"/>
    </row>
    <row r="6" spans="1:24" ht="5.0999999999999996" customHeight="1">
      <c r="A6" s="14"/>
      <c r="B6" s="33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32"/>
      <c r="Q6" s="4"/>
      <c r="R6" s="4"/>
    </row>
    <row r="7" spans="1:24">
      <c r="A7" s="14" t="s">
        <v>14</v>
      </c>
      <c r="B7" s="12"/>
      <c r="C7" s="12"/>
      <c r="D7" s="12"/>
      <c r="E7" s="12"/>
      <c r="F7" s="12"/>
      <c r="G7" s="12"/>
      <c r="H7" s="12"/>
      <c r="I7" s="12"/>
      <c r="J7" s="14" t="s">
        <v>43</v>
      </c>
      <c r="K7" s="12"/>
      <c r="L7" s="12"/>
      <c r="M7" s="12"/>
      <c r="N7" s="12"/>
      <c r="O7" s="12"/>
      <c r="P7" s="12"/>
    </row>
    <row r="8" spans="1:24">
      <c r="A8" s="148" t="s">
        <v>2</v>
      </c>
      <c r="B8" s="148"/>
      <c r="C8" s="55" t="s">
        <v>15</v>
      </c>
      <c r="D8" s="55"/>
      <c r="E8" s="148" t="s">
        <v>17</v>
      </c>
      <c r="F8" s="148"/>
      <c r="G8" s="148"/>
      <c r="H8" s="148" t="s">
        <v>42</v>
      </c>
      <c r="I8" s="148"/>
      <c r="J8" s="148"/>
      <c r="K8" s="148"/>
      <c r="L8" s="148" t="s">
        <v>16</v>
      </c>
      <c r="M8" s="148"/>
      <c r="N8" s="148" t="s">
        <v>17</v>
      </c>
      <c r="O8" s="142"/>
      <c r="P8" s="148" t="s">
        <v>42</v>
      </c>
      <c r="Q8" s="148"/>
      <c r="R8" s="5"/>
      <c r="S8" s="27" t="s">
        <v>19</v>
      </c>
      <c r="T8" s="49">
        <v>0</v>
      </c>
      <c r="U8" s="5"/>
    </row>
    <row r="9" spans="1:24">
      <c r="A9" s="142" t="s">
        <v>41</v>
      </c>
      <c r="B9" s="142"/>
      <c r="C9" s="149">
        <v>14.5</v>
      </c>
      <c r="D9" s="149"/>
      <c r="E9" s="149">
        <v>16.5</v>
      </c>
      <c r="F9" s="149"/>
      <c r="G9" s="149"/>
      <c r="H9" s="156">
        <v>11.4</v>
      </c>
      <c r="I9" s="156"/>
      <c r="J9" s="156"/>
      <c r="K9" s="156"/>
      <c r="L9" s="152">
        <v>11000</v>
      </c>
      <c r="M9" s="152"/>
      <c r="N9" s="152">
        <v>14000</v>
      </c>
      <c r="O9" s="152"/>
      <c r="P9" s="150">
        <v>4000</v>
      </c>
      <c r="Q9" s="150"/>
      <c r="R9" s="8"/>
    </row>
    <row r="10" spans="1:24">
      <c r="A10" s="12"/>
      <c r="B10" s="12"/>
      <c r="C10" s="23"/>
      <c r="D10" s="23"/>
      <c r="E10" s="23"/>
      <c r="F10" s="23"/>
      <c r="G10" s="34"/>
      <c r="H10" s="34"/>
      <c r="I10" s="34"/>
      <c r="J10" s="145"/>
      <c r="K10" s="145"/>
      <c r="L10" s="146"/>
      <c r="M10" s="146"/>
      <c r="N10" s="146"/>
      <c r="O10" s="147"/>
      <c r="P10" s="147"/>
      <c r="Q10" s="9"/>
    </row>
    <row r="11" spans="1:24">
      <c r="A11" s="12"/>
      <c r="B11" s="12"/>
      <c r="C11" s="23"/>
      <c r="D11" s="23"/>
      <c r="E11" s="23"/>
      <c r="F11" s="23"/>
      <c r="G11" s="56"/>
      <c r="H11" s="56"/>
      <c r="I11" s="56"/>
      <c r="J11" s="145"/>
      <c r="K11" s="145"/>
      <c r="L11" s="146"/>
      <c r="M11" s="146"/>
      <c r="N11" s="146"/>
      <c r="O11" s="147"/>
      <c r="P11" s="147"/>
      <c r="Q11" s="9"/>
      <c r="U11" s="41"/>
    </row>
    <row r="12" spans="1:24" ht="5.0999999999999996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34"/>
      <c r="O12" s="34"/>
      <c r="P12" s="12"/>
    </row>
    <row r="13" spans="1:24">
      <c r="A13" s="12"/>
      <c r="B13" s="14" t="s">
        <v>18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S13" s="27"/>
      <c r="T13" s="51"/>
    </row>
    <row r="14" spans="1:24" ht="42" customHeight="1">
      <c r="A14" s="58"/>
      <c r="B14" s="143" t="s">
        <v>33</v>
      </c>
      <c r="C14" s="143"/>
      <c r="D14" s="143"/>
      <c r="E14" s="143"/>
      <c r="F14" s="143"/>
      <c r="G14" s="144" t="s">
        <v>44</v>
      </c>
      <c r="H14" s="144"/>
      <c r="I14" s="144"/>
      <c r="J14" s="144"/>
      <c r="K14" s="144"/>
      <c r="L14" s="143" t="s">
        <v>25</v>
      </c>
      <c r="M14" s="143" t="s">
        <v>26</v>
      </c>
      <c r="N14" s="143" t="s">
        <v>30</v>
      </c>
      <c r="O14" s="143" t="s">
        <v>31</v>
      </c>
      <c r="P14" s="143" t="s">
        <v>27</v>
      </c>
      <c r="Q14" s="143" t="s">
        <v>29</v>
      </c>
      <c r="R14" s="143" t="s">
        <v>28</v>
      </c>
      <c r="S14" s="143" t="s">
        <v>32</v>
      </c>
      <c r="T14" s="153"/>
      <c r="U14" s="42"/>
      <c r="V14" s="10"/>
      <c r="W14" s="1"/>
      <c r="X14" s="1"/>
    </row>
    <row r="15" spans="1:24">
      <c r="A15" s="58" t="s">
        <v>3</v>
      </c>
      <c r="B15" s="58">
        <v>1</v>
      </c>
      <c r="C15" s="30">
        <v>2</v>
      </c>
      <c r="D15" s="30">
        <v>3</v>
      </c>
      <c r="E15" s="30">
        <v>4</v>
      </c>
      <c r="F15" s="30">
        <v>5</v>
      </c>
      <c r="G15" s="151">
        <v>2</v>
      </c>
      <c r="H15" s="151"/>
      <c r="I15" s="30">
        <v>6</v>
      </c>
      <c r="J15" s="151">
        <v>8</v>
      </c>
      <c r="K15" s="151"/>
      <c r="L15" s="143"/>
      <c r="M15" s="143"/>
      <c r="N15" s="143"/>
      <c r="O15" s="143"/>
      <c r="P15" s="143"/>
      <c r="Q15" s="143"/>
      <c r="R15" s="143"/>
      <c r="S15" s="143"/>
      <c r="T15" s="153"/>
      <c r="U15" s="43"/>
      <c r="X15" s="1"/>
    </row>
    <row r="16" spans="1:24">
      <c r="A16" s="40"/>
      <c r="B16" s="35"/>
      <c r="C16" s="36"/>
      <c r="D16" s="36"/>
      <c r="E16" s="36"/>
      <c r="F16" s="36"/>
      <c r="G16" s="154"/>
      <c r="H16" s="154"/>
      <c r="I16" s="36"/>
      <c r="J16" s="154"/>
      <c r="K16" s="154"/>
      <c r="L16" s="47"/>
      <c r="M16" s="47"/>
      <c r="N16" s="47"/>
      <c r="O16" s="45">
        <f>SUM(L16:N16)</f>
        <v>0</v>
      </c>
      <c r="P16" s="45"/>
      <c r="Q16" s="45"/>
      <c r="R16" s="45"/>
      <c r="S16" s="45">
        <f>SUM(P16:R16)</f>
        <v>0</v>
      </c>
      <c r="T16" s="51"/>
      <c r="U16" s="43"/>
      <c r="V16" s="25"/>
      <c r="W16" s="25"/>
      <c r="X16" s="1"/>
    </row>
    <row r="17" spans="1:24">
      <c r="A17" s="40"/>
      <c r="B17" s="35"/>
      <c r="C17" s="36"/>
      <c r="D17" s="36"/>
      <c r="E17" s="36"/>
      <c r="F17" s="36"/>
      <c r="G17" s="154"/>
      <c r="H17" s="154"/>
      <c r="I17" s="36"/>
      <c r="J17" s="154"/>
      <c r="K17" s="154"/>
      <c r="L17" s="47"/>
      <c r="M17" s="47"/>
      <c r="N17" s="47"/>
      <c r="O17" s="45">
        <f>SUM(L17:N17)</f>
        <v>0</v>
      </c>
      <c r="P17" s="45"/>
      <c r="Q17" s="45"/>
      <c r="R17" s="45"/>
      <c r="S17" s="45">
        <f>SUM(P17:R17)</f>
        <v>0</v>
      </c>
      <c r="T17" s="51"/>
      <c r="U17" s="43"/>
      <c r="V17" s="25"/>
      <c r="W17" s="25"/>
      <c r="X17" s="1"/>
    </row>
    <row r="18" spans="1:24">
      <c r="A18" s="40"/>
      <c r="B18" s="35"/>
      <c r="C18" s="36"/>
      <c r="D18" s="36"/>
      <c r="E18" s="36"/>
      <c r="F18" s="36"/>
      <c r="G18" s="154"/>
      <c r="H18" s="154"/>
      <c r="I18" s="36"/>
      <c r="J18" s="154"/>
      <c r="K18" s="154"/>
      <c r="L18" s="47"/>
      <c r="M18" s="47"/>
      <c r="N18" s="47"/>
      <c r="O18" s="45">
        <f>SUM(L18:N18)</f>
        <v>0</v>
      </c>
      <c r="P18" s="45"/>
      <c r="Q18" s="45"/>
      <c r="R18" s="45"/>
      <c r="S18" s="45">
        <f>SUM(P18:R18)</f>
        <v>0</v>
      </c>
      <c r="T18" s="51"/>
      <c r="U18" s="43"/>
      <c r="V18" s="25"/>
      <c r="W18" s="25"/>
      <c r="X18" s="1"/>
    </row>
    <row r="19" spans="1:24">
      <c r="A19" s="40"/>
      <c r="B19" s="35"/>
      <c r="C19" s="36"/>
      <c r="D19" s="36"/>
      <c r="E19" s="36"/>
      <c r="F19" s="36"/>
      <c r="G19" s="154"/>
      <c r="H19" s="154"/>
      <c r="I19" s="36"/>
      <c r="J19" s="154"/>
      <c r="K19" s="154"/>
      <c r="L19" s="47"/>
      <c r="M19" s="47"/>
      <c r="N19" s="47"/>
      <c r="O19" s="45">
        <f>SUM(L19:N19)</f>
        <v>0</v>
      </c>
      <c r="P19" s="45"/>
      <c r="Q19" s="45"/>
      <c r="R19" s="45"/>
      <c r="S19" s="45">
        <f>SUM(P19:R19)</f>
        <v>0</v>
      </c>
      <c r="T19" s="51"/>
      <c r="U19" s="43"/>
      <c r="V19" s="25"/>
      <c r="W19" s="25"/>
      <c r="X19" s="1"/>
    </row>
    <row r="20" spans="1:24">
      <c r="A20" s="40"/>
      <c r="B20" s="35"/>
      <c r="C20" s="36"/>
      <c r="D20" s="36"/>
      <c r="E20" s="36"/>
      <c r="F20" s="36"/>
      <c r="G20" s="154"/>
      <c r="H20" s="154"/>
      <c r="I20" s="36"/>
      <c r="J20" s="154"/>
      <c r="K20" s="154"/>
      <c r="L20" s="47"/>
      <c r="M20" s="47"/>
      <c r="N20" s="47"/>
      <c r="O20" s="45">
        <f>SUM(L20:N20)</f>
        <v>0</v>
      </c>
      <c r="P20" s="45"/>
      <c r="Q20" s="45"/>
      <c r="R20" s="45"/>
      <c r="S20" s="45">
        <f>SUM(P20:R20)</f>
        <v>0</v>
      </c>
      <c r="T20" s="51"/>
      <c r="U20" s="43"/>
      <c r="V20" s="25"/>
      <c r="W20" s="25"/>
      <c r="X20" s="1"/>
    </row>
    <row r="21" spans="1:24">
      <c r="A21" s="40"/>
      <c r="B21" s="35"/>
      <c r="C21" s="36"/>
      <c r="D21" s="36"/>
      <c r="E21" s="36"/>
      <c r="F21" s="36"/>
      <c r="G21" s="154"/>
      <c r="H21" s="154"/>
      <c r="I21" s="36"/>
      <c r="J21" s="154"/>
      <c r="K21" s="154"/>
      <c r="L21" s="47"/>
      <c r="M21" s="47"/>
      <c r="N21" s="47"/>
      <c r="O21" s="45">
        <f>SUM(L21:N21)</f>
        <v>0</v>
      </c>
      <c r="P21" s="45"/>
      <c r="Q21" s="45"/>
      <c r="R21" s="45"/>
      <c r="S21" s="45">
        <f>SUM(P21:R21)</f>
        <v>0</v>
      </c>
      <c r="T21" s="51"/>
      <c r="U21" s="43"/>
      <c r="V21" s="25"/>
      <c r="W21" s="25"/>
      <c r="X21" s="1"/>
    </row>
    <row r="22" spans="1:24">
      <c r="A22" s="40"/>
      <c r="B22" s="36"/>
      <c r="C22" s="36"/>
      <c r="D22" s="36"/>
      <c r="E22" s="36"/>
      <c r="F22" s="36"/>
      <c r="G22" s="154"/>
      <c r="H22" s="154"/>
      <c r="I22" s="36"/>
      <c r="J22" s="154"/>
      <c r="K22" s="154"/>
      <c r="L22" s="47"/>
      <c r="M22" s="47"/>
      <c r="N22" s="47"/>
      <c r="O22" s="45">
        <f>SUM(L22:N22)</f>
        <v>0</v>
      </c>
      <c r="P22" s="45"/>
      <c r="Q22" s="45"/>
      <c r="R22" s="45"/>
      <c r="S22" s="45">
        <f>SUM(P22:R22)</f>
        <v>0</v>
      </c>
      <c r="T22" s="51"/>
      <c r="U22" s="43"/>
      <c r="V22" s="25"/>
      <c r="W22" s="25"/>
      <c r="X22" s="1"/>
    </row>
    <row r="23" spans="1:24">
      <c r="A23" s="40"/>
      <c r="B23" s="35"/>
      <c r="C23" s="36"/>
      <c r="D23" s="36"/>
      <c r="E23" s="36"/>
      <c r="F23" s="36"/>
      <c r="G23" s="154"/>
      <c r="H23" s="154"/>
      <c r="I23" s="36"/>
      <c r="J23" s="154"/>
      <c r="K23" s="154"/>
      <c r="L23" s="47"/>
      <c r="M23" s="47"/>
      <c r="N23" s="47"/>
      <c r="O23" s="45">
        <f>SUM(L23:N23)</f>
        <v>0</v>
      </c>
      <c r="P23" s="45"/>
      <c r="Q23" s="45"/>
      <c r="R23" s="45"/>
      <c r="S23" s="45">
        <f>SUM(P23:R23)</f>
        <v>0</v>
      </c>
      <c r="T23" s="51"/>
      <c r="U23" s="43"/>
      <c r="V23" s="25"/>
      <c r="W23" s="25"/>
      <c r="X23" s="1"/>
    </row>
    <row r="24" spans="1:24">
      <c r="A24" s="40"/>
      <c r="B24" s="35"/>
      <c r="C24" s="36"/>
      <c r="D24" s="36"/>
      <c r="E24" s="36"/>
      <c r="F24" s="36"/>
      <c r="G24" s="154"/>
      <c r="H24" s="154"/>
      <c r="I24" s="36"/>
      <c r="J24" s="154"/>
      <c r="K24" s="154"/>
      <c r="L24" s="47"/>
      <c r="M24" s="47"/>
      <c r="N24" s="47"/>
      <c r="O24" s="45">
        <f>SUM(L24:N24)</f>
        <v>0</v>
      </c>
      <c r="P24" s="45"/>
      <c r="Q24" s="45"/>
      <c r="R24" s="45"/>
      <c r="S24" s="45">
        <f>SUM(P24:R24)</f>
        <v>0</v>
      </c>
      <c r="T24" s="51"/>
      <c r="U24" s="43"/>
      <c r="V24" s="25"/>
      <c r="W24" s="25"/>
      <c r="X24" s="1"/>
    </row>
    <row r="25" spans="1:24">
      <c r="A25" s="40"/>
      <c r="B25" s="35"/>
      <c r="C25" s="36"/>
      <c r="D25" s="36"/>
      <c r="E25" s="36"/>
      <c r="F25" s="36"/>
      <c r="G25" s="154"/>
      <c r="H25" s="154"/>
      <c r="I25" s="36"/>
      <c r="J25" s="154"/>
      <c r="K25" s="154"/>
      <c r="L25" s="47"/>
      <c r="M25" s="47"/>
      <c r="N25" s="47"/>
      <c r="O25" s="45">
        <f>SUM(L25:N25)</f>
        <v>0</v>
      </c>
      <c r="P25" s="45"/>
      <c r="Q25" s="45"/>
      <c r="R25" s="45"/>
      <c r="S25" s="45">
        <f>SUM(P25:R25)</f>
        <v>0</v>
      </c>
      <c r="T25" s="51"/>
      <c r="U25" s="43"/>
      <c r="V25" s="25"/>
      <c r="W25" s="25"/>
      <c r="X25" s="1"/>
    </row>
    <row r="26" spans="1:24">
      <c r="A26" s="40"/>
      <c r="B26" s="35"/>
      <c r="C26" s="36"/>
      <c r="D26" s="36"/>
      <c r="E26" s="36"/>
      <c r="F26" s="36"/>
      <c r="G26" s="154"/>
      <c r="H26" s="154"/>
      <c r="I26" s="36"/>
      <c r="J26" s="154"/>
      <c r="K26" s="154"/>
      <c r="L26" s="47"/>
      <c r="M26" s="47"/>
      <c r="N26" s="47"/>
      <c r="O26" s="45">
        <f>SUM(L26:N26)</f>
        <v>0</v>
      </c>
      <c r="P26" s="45"/>
      <c r="Q26" s="45"/>
      <c r="R26" s="45"/>
      <c r="S26" s="45">
        <f>SUM(P26:R26)</f>
        <v>0</v>
      </c>
      <c r="T26" s="51"/>
      <c r="U26" s="43"/>
      <c r="V26" s="25"/>
      <c r="W26" s="25"/>
      <c r="X26" s="1"/>
    </row>
    <row r="27" spans="1:24">
      <c r="A27" s="40"/>
      <c r="B27" s="35"/>
      <c r="C27" s="36"/>
      <c r="D27" s="36"/>
      <c r="E27" s="36"/>
      <c r="F27" s="36"/>
      <c r="G27" s="154"/>
      <c r="H27" s="154"/>
      <c r="I27" s="36"/>
      <c r="J27" s="154"/>
      <c r="K27" s="154"/>
      <c r="L27" s="47"/>
      <c r="M27" s="47"/>
      <c r="N27" s="47"/>
      <c r="O27" s="45">
        <f>SUM(L27:N27)</f>
        <v>0</v>
      </c>
      <c r="P27" s="45"/>
      <c r="Q27" s="45"/>
      <c r="R27" s="45"/>
      <c r="S27" s="45">
        <f>SUM(P27:R27)</f>
        <v>0</v>
      </c>
      <c r="T27" s="51"/>
      <c r="U27" s="43"/>
      <c r="V27" s="25"/>
      <c r="W27" s="25"/>
      <c r="X27" s="1"/>
    </row>
    <row r="28" spans="1:24">
      <c r="A28" s="40"/>
      <c r="B28" s="35"/>
      <c r="C28" s="36"/>
      <c r="D28" s="36"/>
      <c r="E28" s="36"/>
      <c r="F28" s="36"/>
      <c r="G28" s="154"/>
      <c r="H28" s="154"/>
      <c r="I28" s="36"/>
      <c r="J28" s="154"/>
      <c r="K28" s="154"/>
      <c r="L28" s="47"/>
      <c r="M28" s="47"/>
      <c r="N28" s="47"/>
      <c r="O28" s="45">
        <f>SUM(L28:N28)</f>
        <v>0</v>
      </c>
      <c r="P28" s="45"/>
      <c r="Q28" s="45"/>
      <c r="R28" s="45"/>
      <c r="S28" s="45">
        <f>SUM(P28:R28)</f>
        <v>0</v>
      </c>
      <c r="T28" s="51"/>
      <c r="U28" s="43"/>
      <c r="V28" s="25"/>
      <c r="W28" s="25"/>
      <c r="X28" s="1"/>
    </row>
    <row r="29" spans="1:24">
      <c r="A29" s="40"/>
      <c r="B29" s="36"/>
      <c r="C29" s="36"/>
      <c r="D29" s="36"/>
      <c r="E29" s="36"/>
      <c r="F29" s="36"/>
      <c r="G29" s="154"/>
      <c r="H29" s="154"/>
      <c r="I29" s="36"/>
      <c r="J29" s="154"/>
      <c r="K29" s="154"/>
      <c r="L29" s="47"/>
      <c r="M29" s="47"/>
      <c r="N29" s="47"/>
      <c r="O29" s="45">
        <f>SUM(L29:N29)</f>
        <v>0</v>
      </c>
      <c r="P29" s="45"/>
      <c r="Q29" s="45"/>
      <c r="R29" s="45"/>
      <c r="S29" s="45">
        <f>SUM(P29:R29)</f>
        <v>0</v>
      </c>
      <c r="T29" s="51"/>
      <c r="U29" s="43"/>
      <c r="V29" s="25"/>
      <c r="W29" s="25"/>
      <c r="X29" s="1"/>
    </row>
    <row r="30" spans="1:24">
      <c r="A30" s="40"/>
      <c r="B30" s="36"/>
      <c r="C30" s="36"/>
      <c r="D30" s="36"/>
      <c r="E30" s="36"/>
      <c r="F30" s="36"/>
      <c r="G30" s="154"/>
      <c r="H30" s="154"/>
      <c r="I30" s="36"/>
      <c r="J30" s="154"/>
      <c r="K30" s="154"/>
      <c r="L30" s="47"/>
      <c r="M30" s="47"/>
      <c r="N30" s="47"/>
      <c r="O30" s="45">
        <f>SUM(L30:N30)</f>
        <v>0</v>
      </c>
      <c r="P30" s="45"/>
      <c r="Q30" s="45"/>
      <c r="R30" s="45"/>
      <c r="S30" s="45">
        <f>SUM(P30:R30)</f>
        <v>0</v>
      </c>
      <c r="T30" s="51"/>
      <c r="U30" s="43"/>
      <c r="V30" s="25"/>
      <c r="W30" s="25"/>
      <c r="X30" s="1"/>
    </row>
    <row r="31" spans="1:24">
      <c r="A31" s="40"/>
      <c r="B31" s="35"/>
      <c r="C31" s="36"/>
      <c r="D31" s="36"/>
      <c r="E31" s="36"/>
      <c r="F31" s="36"/>
      <c r="G31" s="154"/>
      <c r="H31" s="154"/>
      <c r="I31" s="36"/>
      <c r="J31" s="154"/>
      <c r="K31" s="154"/>
      <c r="L31" s="47"/>
      <c r="M31" s="47"/>
      <c r="N31" s="47"/>
      <c r="O31" s="45">
        <f>SUM(L31:N31)</f>
        <v>0</v>
      </c>
      <c r="P31" s="45"/>
      <c r="Q31" s="45"/>
      <c r="R31" s="45"/>
      <c r="S31" s="45">
        <f>SUM(P31:R31)</f>
        <v>0</v>
      </c>
      <c r="T31" s="51"/>
      <c r="U31" s="43"/>
      <c r="V31" s="25"/>
      <c r="W31" s="25"/>
      <c r="X31" s="1"/>
    </row>
    <row r="32" spans="1:24">
      <c r="A32" s="40"/>
      <c r="B32" s="35"/>
      <c r="C32" s="36"/>
      <c r="D32" s="36"/>
      <c r="E32" s="36"/>
      <c r="F32" s="36"/>
      <c r="G32" s="154"/>
      <c r="H32" s="154"/>
      <c r="I32" s="36"/>
      <c r="J32" s="154"/>
      <c r="K32" s="154"/>
      <c r="L32" s="47"/>
      <c r="M32" s="47"/>
      <c r="N32" s="47"/>
      <c r="O32" s="45">
        <f>SUM(L32:N32)</f>
        <v>0</v>
      </c>
      <c r="P32" s="45"/>
      <c r="Q32" s="45"/>
      <c r="R32" s="45"/>
      <c r="S32" s="45">
        <f>SUM(P32:R32)</f>
        <v>0</v>
      </c>
      <c r="T32" s="51"/>
      <c r="U32" s="43"/>
      <c r="V32" s="25"/>
      <c r="W32" s="25"/>
      <c r="X32" s="1"/>
    </row>
    <row r="33" spans="1:24">
      <c r="A33" s="40"/>
      <c r="B33" s="35"/>
      <c r="C33" s="36"/>
      <c r="D33" s="36"/>
      <c r="E33" s="36"/>
      <c r="F33" s="36"/>
      <c r="G33" s="154"/>
      <c r="H33" s="154"/>
      <c r="I33" s="36"/>
      <c r="J33" s="154"/>
      <c r="K33" s="154"/>
      <c r="L33" s="47"/>
      <c r="M33" s="47"/>
      <c r="N33" s="47"/>
      <c r="O33" s="45">
        <f>SUM(L33:N33)</f>
        <v>0</v>
      </c>
      <c r="P33" s="45"/>
      <c r="Q33" s="45"/>
      <c r="R33" s="45"/>
      <c r="S33" s="45">
        <f>SUM(P33:R33)</f>
        <v>0</v>
      </c>
      <c r="T33" s="51"/>
      <c r="U33" s="43"/>
      <c r="V33" s="25"/>
      <c r="W33" s="25"/>
      <c r="X33" s="1"/>
    </row>
    <row r="34" spans="1:24">
      <c r="A34" s="40"/>
      <c r="B34" s="35"/>
      <c r="C34" s="36"/>
      <c r="D34" s="36"/>
      <c r="E34" s="36"/>
      <c r="F34" s="36"/>
      <c r="G34" s="154"/>
      <c r="H34" s="154"/>
      <c r="I34" s="36"/>
      <c r="J34" s="154"/>
      <c r="K34" s="154"/>
      <c r="L34" s="47"/>
      <c r="M34" s="47"/>
      <c r="N34" s="47"/>
      <c r="O34" s="45">
        <f>SUM(L34:N34)</f>
        <v>0</v>
      </c>
      <c r="P34" s="45"/>
      <c r="Q34" s="45"/>
      <c r="R34" s="45"/>
      <c r="S34" s="45">
        <f>SUM(P34:R34)</f>
        <v>0</v>
      </c>
      <c r="T34" s="51"/>
      <c r="U34" s="43"/>
      <c r="V34" s="25"/>
      <c r="W34" s="25"/>
      <c r="X34" s="1"/>
    </row>
    <row r="35" spans="1:24">
      <c r="A35" s="40"/>
      <c r="B35" s="35"/>
      <c r="C35" s="36"/>
      <c r="D35" s="36"/>
      <c r="E35" s="36"/>
      <c r="F35" s="36"/>
      <c r="G35" s="154"/>
      <c r="H35" s="154"/>
      <c r="I35" s="36"/>
      <c r="J35" s="154"/>
      <c r="K35" s="154"/>
      <c r="L35" s="47"/>
      <c r="M35" s="47"/>
      <c r="N35" s="47"/>
      <c r="O35" s="45">
        <f>SUM(L35:N35)</f>
        <v>0</v>
      </c>
      <c r="P35" s="45"/>
      <c r="Q35" s="45"/>
      <c r="R35" s="45"/>
      <c r="S35" s="45">
        <f>SUM(P35:R35)</f>
        <v>0</v>
      </c>
      <c r="T35" s="51"/>
      <c r="U35" s="43"/>
      <c r="V35" s="25"/>
      <c r="W35" s="25"/>
      <c r="X35" s="1"/>
    </row>
    <row r="36" spans="1:24">
      <c r="A36" s="40"/>
      <c r="B36" s="36"/>
      <c r="C36" s="36"/>
      <c r="D36" s="36"/>
      <c r="E36" s="36"/>
      <c r="F36" s="36"/>
      <c r="G36" s="154"/>
      <c r="H36" s="154"/>
      <c r="I36" s="36"/>
      <c r="J36" s="154"/>
      <c r="K36" s="154"/>
      <c r="L36" s="47"/>
      <c r="M36" s="47"/>
      <c r="N36" s="47"/>
      <c r="O36" s="45">
        <f>SUM(L36:N36)</f>
        <v>0</v>
      </c>
      <c r="P36" s="45"/>
      <c r="Q36" s="45"/>
      <c r="R36" s="45"/>
      <c r="S36" s="45">
        <f>SUM(P36:R36)</f>
        <v>0</v>
      </c>
      <c r="T36" s="51"/>
      <c r="U36" s="43"/>
      <c r="V36" s="25"/>
      <c r="W36" s="25"/>
      <c r="X36" s="1"/>
    </row>
    <row r="37" spans="1:24">
      <c r="A37" s="40"/>
      <c r="B37" s="35"/>
      <c r="C37" s="36"/>
      <c r="D37" s="36"/>
      <c r="E37" s="36"/>
      <c r="F37" s="36"/>
      <c r="G37" s="154"/>
      <c r="H37" s="154"/>
      <c r="I37" s="36"/>
      <c r="J37" s="154"/>
      <c r="K37" s="154"/>
      <c r="L37" s="47"/>
      <c r="M37" s="47"/>
      <c r="N37" s="47"/>
      <c r="O37" s="45">
        <f>SUM(L37:N37)</f>
        <v>0</v>
      </c>
      <c r="P37" s="45"/>
      <c r="Q37" s="45"/>
      <c r="R37" s="45"/>
      <c r="S37" s="45">
        <f>SUM(P37:R37)</f>
        <v>0</v>
      </c>
      <c r="T37" s="51"/>
      <c r="U37" s="43"/>
      <c r="V37" s="25"/>
      <c r="W37" s="25"/>
      <c r="X37" s="1"/>
    </row>
    <row r="38" spans="1:24">
      <c r="A38" s="40"/>
      <c r="B38" s="35"/>
      <c r="C38" s="36"/>
      <c r="D38" s="36"/>
      <c r="E38" s="36"/>
      <c r="F38" s="36"/>
      <c r="G38" s="154"/>
      <c r="H38" s="154"/>
      <c r="I38" s="36"/>
      <c r="J38" s="154"/>
      <c r="K38" s="154"/>
      <c r="L38" s="47"/>
      <c r="M38" s="47"/>
      <c r="N38" s="47"/>
      <c r="O38" s="45">
        <f>SUM(L38:N38)</f>
        <v>0</v>
      </c>
      <c r="P38" s="45"/>
      <c r="Q38" s="45"/>
      <c r="R38" s="45"/>
      <c r="S38" s="45">
        <f>SUM(P38:R38)</f>
        <v>0</v>
      </c>
      <c r="T38" s="51"/>
      <c r="U38" s="43"/>
      <c r="V38" s="25"/>
      <c r="W38" s="25"/>
      <c r="X38" s="1"/>
    </row>
    <row r="39" spans="1:24">
      <c r="A39" s="40"/>
      <c r="B39" s="35"/>
      <c r="C39" s="36"/>
      <c r="D39" s="36"/>
      <c r="E39" s="36"/>
      <c r="F39" s="36"/>
      <c r="G39" s="154"/>
      <c r="H39" s="154"/>
      <c r="I39" s="36"/>
      <c r="J39" s="154"/>
      <c r="K39" s="154"/>
      <c r="L39" s="47"/>
      <c r="M39" s="47"/>
      <c r="N39" s="47"/>
      <c r="O39" s="45">
        <f>SUM(L39:N39)</f>
        <v>0</v>
      </c>
      <c r="P39" s="45"/>
      <c r="Q39" s="45"/>
      <c r="R39" s="45"/>
      <c r="S39" s="45">
        <f>SUM(P39:R39)</f>
        <v>0</v>
      </c>
      <c r="T39" s="51"/>
      <c r="U39" s="43"/>
      <c r="V39" s="25"/>
      <c r="W39" s="25"/>
      <c r="X39" s="1"/>
    </row>
    <row r="40" spans="1:24">
      <c r="A40" s="40"/>
      <c r="B40" s="35"/>
      <c r="C40" s="36"/>
      <c r="D40" s="36"/>
      <c r="E40" s="36"/>
      <c r="F40" s="36"/>
      <c r="G40" s="154"/>
      <c r="H40" s="154"/>
      <c r="I40" s="36"/>
      <c r="J40" s="154"/>
      <c r="K40" s="154"/>
      <c r="L40" s="47"/>
      <c r="M40" s="47"/>
      <c r="N40" s="47"/>
      <c r="O40" s="45">
        <f>SUM(L40:N40)</f>
        <v>0</v>
      </c>
      <c r="P40" s="45"/>
      <c r="Q40" s="45"/>
      <c r="R40" s="45"/>
      <c r="S40" s="45">
        <f>SUM(P40:R40)</f>
        <v>0</v>
      </c>
      <c r="T40" s="51"/>
      <c r="U40" s="43"/>
      <c r="V40" s="28"/>
      <c r="W40" s="25"/>
      <c r="X40" s="1"/>
    </row>
    <row r="41" spans="1:24">
      <c r="A41" s="40"/>
      <c r="B41" s="35"/>
      <c r="C41" s="36"/>
      <c r="D41" s="36"/>
      <c r="E41" s="36"/>
      <c r="F41" s="36"/>
      <c r="G41" s="154"/>
      <c r="H41" s="154"/>
      <c r="I41" s="36"/>
      <c r="J41" s="154"/>
      <c r="K41" s="154"/>
      <c r="L41" s="47"/>
      <c r="M41" s="47"/>
      <c r="N41" s="47"/>
      <c r="O41" s="45">
        <f>SUM(L41:N41)</f>
        <v>0</v>
      </c>
      <c r="P41" s="45"/>
      <c r="Q41" s="45"/>
      <c r="R41" s="45"/>
      <c r="S41" s="45">
        <f>SUM(P41:R41)</f>
        <v>0</v>
      </c>
      <c r="T41" s="51"/>
      <c r="U41" s="43"/>
      <c r="V41" s="28"/>
      <c r="W41" s="25"/>
      <c r="X41" s="1"/>
    </row>
    <row r="42" spans="1:24">
      <c r="A42" s="40"/>
      <c r="B42" s="35"/>
      <c r="C42" s="36"/>
      <c r="D42" s="36"/>
      <c r="E42" s="36"/>
      <c r="F42" s="36"/>
      <c r="G42" s="154"/>
      <c r="H42" s="154"/>
      <c r="I42" s="36"/>
      <c r="J42" s="154"/>
      <c r="K42" s="154"/>
      <c r="L42" s="47"/>
      <c r="M42" s="47"/>
      <c r="N42" s="47"/>
      <c r="O42" s="45">
        <f>SUM(L42:N42)</f>
        <v>0</v>
      </c>
      <c r="P42" s="45"/>
      <c r="Q42" s="45"/>
      <c r="R42" s="45"/>
      <c r="S42" s="45">
        <f>SUM(P42:R42)</f>
        <v>0</v>
      </c>
      <c r="T42" s="51"/>
      <c r="U42" s="43"/>
      <c r="V42" s="25"/>
      <c r="W42" s="25"/>
      <c r="X42" s="1"/>
    </row>
    <row r="43" spans="1:24">
      <c r="A43" s="40"/>
      <c r="B43" s="37"/>
      <c r="C43" s="36"/>
      <c r="D43" s="36"/>
      <c r="E43" s="36"/>
      <c r="F43" s="36"/>
      <c r="G43" s="154"/>
      <c r="H43" s="154"/>
      <c r="I43" s="36"/>
      <c r="J43" s="154"/>
      <c r="K43" s="154"/>
      <c r="L43" s="47"/>
      <c r="M43" s="47"/>
      <c r="N43" s="47"/>
      <c r="O43" s="45">
        <f>SUM(L43:N43)</f>
        <v>0</v>
      </c>
      <c r="P43" s="45"/>
      <c r="Q43" s="45"/>
      <c r="R43" s="45"/>
      <c r="S43" s="45">
        <f>SUM(P43:R43)</f>
        <v>0</v>
      </c>
      <c r="T43" s="51"/>
      <c r="U43" s="43"/>
      <c r="V43" s="25"/>
      <c r="W43" s="25"/>
      <c r="X43" s="1"/>
    </row>
    <row r="44" spans="1:24">
      <c r="A44" s="40"/>
      <c r="B44" s="35"/>
      <c r="C44" s="36"/>
      <c r="D44" s="36"/>
      <c r="E44" s="36"/>
      <c r="F44" s="36"/>
      <c r="G44" s="154"/>
      <c r="H44" s="154"/>
      <c r="I44" s="36"/>
      <c r="J44" s="154"/>
      <c r="K44" s="154"/>
      <c r="L44" s="47"/>
      <c r="M44" s="47"/>
      <c r="N44" s="47"/>
      <c r="O44" s="45">
        <f>SUM(L44:N44)</f>
        <v>0</v>
      </c>
      <c r="P44" s="45"/>
      <c r="Q44" s="45"/>
      <c r="R44" s="45"/>
      <c r="S44" s="45">
        <f>SUM(P44:R44)</f>
        <v>0</v>
      </c>
      <c r="T44" s="51"/>
      <c r="U44" s="43"/>
      <c r="V44" s="25"/>
      <c r="W44" s="25"/>
      <c r="X44" s="1"/>
    </row>
    <row r="45" spans="1:24">
      <c r="A45" s="40"/>
      <c r="B45" s="35"/>
      <c r="C45" s="36"/>
      <c r="D45" s="36"/>
      <c r="E45" s="36"/>
      <c r="F45" s="36"/>
      <c r="G45" s="154"/>
      <c r="H45" s="154"/>
      <c r="I45" s="36"/>
      <c r="J45" s="154"/>
      <c r="K45" s="154"/>
      <c r="L45" s="47"/>
      <c r="M45" s="47"/>
      <c r="N45" s="47"/>
      <c r="O45" s="45">
        <f>SUM(L45:N45)</f>
        <v>0</v>
      </c>
      <c r="P45" s="45"/>
      <c r="Q45" s="45"/>
      <c r="R45" s="45"/>
      <c r="S45" s="45">
        <f>SUM(P45:R45)</f>
        <v>0</v>
      </c>
      <c r="T45" s="51"/>
      <c r="U45" s="43"/>
      <c r="V45" s="25"/>
      <c r="W45" s="25"/>
      <c r="X45" s="1"/>
    </row>
    <row r="46" spans="1:24">
      <c r="A46" s="40"/>
      <c r="B46" s="35"/>
      <c r="C46" s="36"/>
      <c r="D46" s="36"/>
      <c r="E46" s="36"/>
      <c r="F46" s="36"/>
      <c r="G46" s="154"/>
      <c r="H46" s="154"/>
      <c r="I46" s="36"/>
      <c r="J46" s="154"/>
      <c r="K46" s="154"/>
      <c r="L46" s="47"/>
      <c r="M46" s="47"/>
      <c r="N46" s="47"/>
      <c r="O46" s="45">
        <f>SUM(L46:N46)</f>
        <v>0</v>
      </c>
      <c r="P46" s="45"/>
      <c r="Q46" s="45"/>
      <c r="R46" s="45"/>
      <c r="S46" s="45">
        <f>SUM(P46:R46)</f>
        <v>0</v>
      </c>
      <c r="T46" s="51"/>
      <c r="U46" s="43"/>
      <c r="V46" s="25"/>
      <c r="W46" s="25"/>
      <c r="X46" s="1"/>
    </row>
    <row r="47" spans="1:24" ht="15" customHeight="1">
      <c r="A47" s="60" t="s">
        <v>20</v>
      </c>
      <c r="B47" s="38">
        <f>SUM(B16:B46)</f>
        <v>0</v>
      </c>
      <c r="C47" s="38">
        <f>SUM(C16:C46)</f>
        <v>0</v>
      </c>
      <c r="D47" s="38">
        <f>SUM(D16:D46)</f>
        <v>0</v>
      </c>
      <c r="E47" s="38">
        <f>SUM(E16:E46)</f>
        <v>0</v>
      </c>
      <c r="F47" s="38">
        <f>SUM(F16:F46)</f>
        <v>0</v>
      </c>
      <c r="G47" s="155">
        <f>SUM(G16:G46)</f>
        <v>0</v>
      </c>
      <c r="H47" s="155"/>
      <c r="I47" s="38">
        <f>SUM(I16:I46)</f>
        <v>0</v>
      </c>
      <c r="J47" s="155">
        <f>SUM(J16:J46)</f>
        <v>0</v>
      </c>
      <c r="K47" s="155"/>
      <c r="L47" s="46">
        <f>SUM(L16:L46)</f>
        <v>0</v>
      </c>
      <c r="M47" s="46">
        <f>SUM(M16:M46)</f>
        <v>0</v>
      </c>
      <c r="N47" s="46">
        <f>SUM(N16:N46)</f>
        <v>0</v>
      </c>
      <c r="O47" s="46">
        <f>SUM(O16:O46)</f>
        <v>0</v>
      </c>
      <c r="P47" s="46">
        <f>SUM(P16:P46)</f>
        <v>0</v>
      </c>
      <c r="Q47" s="46">
        <f>SUM(Q16:Q46)</f>
        <v>0</v>
      </c>
      <c r="R47" s="46">
        <f>SUM(R16:R46)</f>
        <v>0</v>
      </c>
      <c r="S47" s="46">
        <f>SUM(S16:S46)</f>
        <v>0</v>
      </c>
      <c r="T47" s="59"/>
      <c r="U47" s="44"/>
      <c r="V47" s="26"/>
      <c r="W47" s="26"/>
      <c r="X47" s="14"/>
    </row>
    <row r="48" spans="1:24">
      <c r="V48" s="1"/>
      <c r="W48" s="1"/>
      <c r="X48" s="1"/>
    </row>
    <row r="49" spans="7:7">
      <c r="G49" s="131">
        <f>SUM(G17:J48)</f>
        <v>0</v>
      </c>
    </row>
  </sheetData>
  <mergeCells count="104">
    <mergeCell ref="J44:K44"/>
    <mergeCell ref="J45:K45"/>
    <mergeCell ref="J46:K46"/>
    <mergeCell ref="J47:K47"/>
    <mergeCell ref="H8:K8"/>
    <mergeCell ref="H9:K9"/>
    <mergeCell ref="J39:K39"/>
    <mergeCell ref="J40:K40"/>
    <mergeCell ref="J41:K41"/>
    <mergeCell ref="J42:K42"/>
    <mergeCell ref="J43:K43"/>
    <mergeCell ref="J34:K34"/>
    <mergeCell ref="J35:K35"/>
    <mergeCell ref="J36:K36"/>
    <mergeCell ref="J37:K37"/>
    <mergeCell ref="J38:K38"/>
    <mergeCell ref="J29:K29"/>
    <mergeCell ref="J30:K30"/>
    <mergeCell ref="J31:K31"/>
    <mergeCell ref="J32:K32"/>
    <mergeCell ref="J33:K33"/>
    <mergeCell ref="G46:H46"/>
    <mergeCell ref="G47:H47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G41:H41"/>
    <mergeCell ref="G42:H42"/>
    <mergeCell ref="G43:H43"/>
    <mergeCell ref="G44:H44"/>
    <mergeCell ref="G45:H45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26:H26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G16:H16"/>
    <mergeCell ref="G17:H17"/>
    <mergeCell ref="G18:H18"/>
    <mergeCell ref="G19:H19"/>
    <mergeCell ref="G20:H20"/>
    <mergeCell ref="G15:H15"/>
    <mergeCell ref="L8:M8"/>
    <mergeCell ref="L9:M9"/>
    <mergeCell ref="N9:O9"/>
    <mergeCell ref="N8:O8"/>
    <mergeCell ref="Q14:Q15"/>
    <mergeCell ref="T14:T15"/>
    <mergeCell ref="S14:S15"/>
    <mergeCell ref="R14:R15"/>
    <mergeCell ref="L14:L15"/>
    <mergeCell ref="M14:M15"/>
    <mergeCell ref="N14:N15"/>
    <mergeCell ref="O14:O15"/>
    <mergeCell ref="P14:P15"/>
    <mergeCell ref="C2:O2"/>
    <mergeCell ref="C5:O5"/>
    <mergeCell ref="A2:B2"/>
    <mergeCell ref="A9:B9"/>
    <mergeCell ref="B14:F14"/>
    <mergeCell ref="G14:K14"/>
    <mergeCell ref="J11:K11"/>
    <mergeCell ref="L11:N11"/>
    <mergeCell ref="J10:K10"/>
    <mergeCell ref="L10:N10"/>
    <mergeCell ref="O10:P10"/>
    <mergeCell ref="O11:P11"/>
    <mergeCell ref="A5:B5"/>
    <mergeCell ref="C4:O4"/>
    <mergeCell ref="A4:B4"/>
    <mergeCell ref="A3:B3"/>
    <mergeCell ref="C3:O3"/>
    <mergeCell ref="A8:B8"/>
    <mergeCell ref="E8:G8"/>
    <mergeCell ref="C9:D9"/>
    <mergeCell ref="E9:G9"/>
    <mergeCell ref="P8:Q8"/>
    <mergeCell ref="P9:Q9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 summaryRight="0"/>
  </sheetPr>
  <dimension ref="A1:U47"/>
  <sheetViews>
    <sheetView view="pageBreakPreview" topLeftCell="A36" zoomScale="115" zoomScaleNormal="100" zoomScaleSheetLayoutView="115" workbookViewId="0">
      <selection activeCell="P47" sqref="P47"/>
    </sheetView>
  </sheetViews>
  <sheetFormatPr baseColWidth="10" defaultRowHeight="15"/>
  <cols>
    <col min="1" max="1" width="10.28515625" style="1" customWidth="1"/>
    <col min="2" max="2" width="4.28515625" style="1" customWidth="1"/>
    <col min="3" max="9" width="5.7109375" style="1" customWidth="1"/>
    <col min="10" max="10" width="0.140625" style="1" customWidth="1"/>
    <col min="11" max="11" width="5.7109375" style="1" hidden="1" customWidth="1"/>
    <col min="12" max="12" width="6.7109375" style="1" customWidth="1"/>
    <col min="13" max="16" width="6.42578125" style="1" customWidth="1"/>
    <col min="17" max="17" width="2.5703125" style="1" customWidth="1"/>
    <col min="18" max="18" width="5.7109375" style="1" customWidth="1"/>
    <col min="19" max="19" width="8.42578125" customWidth="1"/>
    <col min="20" max="20" width="5.5703125" customWidth="1"/>
  </cols>
  <sheetData>
    <row r="1" spans="1:21" ht="15" customHeight="1">
      <c r="A1" s="31" t="s">
        <v>46</v>
      </c>
      <c r="B1" s="12"/>
      <c r="C1" s="12"/>
      <c r="D1" s="12"/>
      <c r="E1" s="12"/>
      <c r="F1" s="31"/>
      <c r="G1" s="12"/>
      <c r="H1" s="12"/>
      <c r="I1" s="12"/>
      <c r="J1" s="12"/>
      <c r="K1" s="12"/>
      <c r="L1" s="12"/>
      <c r="M1" s="12"/>
      <c r="N1" s="12"/>
      <c r="O1" s="12"/>
    </row>
    <row r="2" spans="1:21" ht="15.75" customHeight="1">
      <c r="A2" s="141" t="s">
        <v>0</v>
      </c>
      <c r="B2" s="141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</row>
    <row r="3" spans="1:21" ht="15.75" customHeight="1">
      <c r="A3" s="141" t="s">
        <v>1</v>
      </c>
      <c r="B3" s="141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</row>
    <row r="4" spans="1:21">
      <c r="A4" s="141" t="s">
        <v>2</v>
      </c>
      <c r="B4" s="141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</row>
    <row r="5" spans="1:21" ht="15" customHeight="1">
      <c r="A5" s="141" t="s">
        <v>3</v>
      </c>
      <c r="B5" s="141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4"/>
    </row>
    <row r="6" spans="1:21" ht="5.0999999999999996" customHeight="1">
      <c r="A6" s="14"/>
      <c r="B6" s="33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4"/>
    </row>
    <row r="7" spans="1:21">
      <c r="A7" s="14" t="s">
        <v>9</v>
      </c>
      <c r="B7" s="12"/>
      <c r="C7" s="12"/>
      <c r="D7" s="12"/>
      <c r="E7" s="12"/>
      <c r="F7" s="12"/>
      <c r="G7" s="12"/>
      <c r="H7" s="12"/>
      <c r="I7" s="12"/>
      <c r="J7" s="14"/>
      <c r="K7" s="12"/>
      <c r="L7" s="12"/>
      <c r="M7" s="12"/>
      <c r="N7" s="12"/>
      <c r="O7" s="12"/>
    </row>
    <row r="8" spans="1:21">
      <c r="A8" s="148" t="s">
        <v>2</v>
      </c>
      <c r="B8" s="148"/>
      <c r="C8" s="158" t="s">
        <v>15</v>
      </c>
      <c r="D8" s="158"/>
      <c r="E8" s="158"/>
      <c r="F8" s="158"/>
      <c r="G8" s="148" t="s">
        <v>17</v>
      </c>
      <c r="H8" s="148"/>
      <c r="I8" s="148"/>
      <c r="J8" s="148"/>
      <c r="K8" s="148" t="s">
        <v>42</v>
      </c>
      <c r="L8" s="148"/>
      <c r="M8" s="148"/>
      <c r="N8" s="148"/>
      <c r="O8" s="14"/>
      <c r="P8" s="5"/>
      <c r="Q8" s="5"/>
      <c r="R8" s="5"/>
    </row>
    <row r="9" spans="1:21">
      <c r="A9" s="142" t="s">
        <v>45</v>
      </c>
      <c r="B9" s="142"/>
      <c r="C9" s="157">
        <v>80</v>
      </c>
      <c r="D9" s="157"/>
      <c r="E9" s="157"/>
      <c r="F9" s="157"/>
      <c r="G9" s="150">
        <v>110</v>
      </c>
      <c r="H9" s="150"/>
      <c r="I9" s="150"/>
      <c r="J9" s="150"/>
      <c r="K9" s="150">
        <v>70</v>
      </c>
      <c r="L9" s="150"/>
      <c r="M9" s="150"/>
      <c r="N9" s="150"/>
      <c r="O9" s="52"/>
      <c r="P9" s="9"/>
    </row>
    <row r="10" spans="1:21" ht="12.75">
      <c r="A10" s="145"/>
      <c r="B10" s="145"/>
      <c r="C10" s="159"/>
      <c r="D10" s="159"/>
      <c r="E10" s="159"/>
      <c r="F10" s="159"/>
      <c r="G10" s="160"/>
      <c r="H10" s="160"/>
      <c r="I10" s="160"/>
      <c r="J10" s="145"/>
      <c r="K10" s="145"/>
      <c r="L10" s="146"/>
      <c r="M10" s="146"/>
      <c r="N10" s="146"/>
      <c r="O10" s="52"/>
      <c r="P10" s="9"/>
      <c r="Q10" s="27"/>
      <c r="R10" s="41"/>
    </row>
    <row r="11" spans="1:21" ht="5.0999999999999996" customHeigh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34"/>
      <c r="O11" s="34"/>
    </row>
    <row r="12" spans="1:21">
      <c r="A12" s="12"/>
      <c r="B12" s="14" t="s">
        <v>18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Q12" s="27"/>
    </row>
    <row r="13" spans="1:21" ht="42" customHeight="1">
      <c r="A13" s="57"/>
      <c r="B13" s="143" t="s">
        <v>35</v>
      </c>
      <c r="C13" s="143"/>
      <c r="D13" s="143"/>
      <c r="E13" s="143"/>
      <c r="F13" s="143"/>
      <c r="G13" s="144" t="s">
        <v>44</v>
      </c>
      <c r="H13" s="144"/>
      <c r="I13" s="144"/>
      <c r="J13" s="144"/>
      <c r="K13" s="144"/>
      <c r="L13" s="161" t="s">
        <v>36</v>
      </c>
      <c r="M13" s="161" t="s">
        <v>38</v>
      </c>
      <c r="N13" s="161" t="s">
        <v>39</v>
      </c>
      <c r="O13" s="161" t="s">
        <v>37</v>
      </c>
      <c r="P13" s="161" t="s">
        <v>34</v>
      </c>
      <c r="Q13" s="153"/>
      <c r="R13" s="42"/>
      <c r="S13" s="10"/>
      <c r="T13" s="1"/>
      <c r="U13" s="1"/>
    </row>
    <row r="14" spans="1:21">
      <c r="A14" s="57" t="s">
        <v>3</v>
      </c>
      <c r="B14" s="57">
        <v>1</v>
      </c>
      <c r="C14" s="30">
        <v>2</v>
      </c>
      <c r="D14" s="30">
        <v>3</v>
      </c>
      <c r="E14" s="30">
        <v>4</v>
      </c>
      <c r="F14" s="30">
        <v>5</v>
      </c>
      <c r="G14" s="30">
        <v>2</v>
      </c>
      <c r="H14" s="30">
        <v>6</v>
      </c>
      <c r="I14" s="30">
        <v>8</v>
      </c>
      <c r="J14" s="30">
        <v>4</v>
      </c>
      <c r="K14" s="30">
        <v>5</v>
      </c>
      <c r="L14" s="162"/>
      <c r="M14" s="162"/>
      <c r="N14" s="162"/>
      <c r="O14" s="162"/>
      <c r="P14" s="162"/>
      <c r="Q14" s="153"/>
      <c r="R14" s="43"/>
      <c r="U14" s="1"/>
    </row>
    <row r="15" spans="1:21">
      <c r="A15" s="40"/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47"/>
      <c r="M15" s="47"/>
      <c r="N15" s="47"/>
      <c r="O15" s="45">
        <f>SUM(L15:N15)</f>
        <v>0</v>
      </c>
      <c r="P15" s="45"/>
      <c r="Q15" s="51"/>
      <c r="R15" s="43"/>
      <c r="S15" s="25"/>
      <c r="T15" s="25"/>
      <c r="U15" s="1"/>
    </row>
    <row r="16" spans="1:21">
      <c r="A16" s="40"/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47"/>
      <c r="M16" s="47"/>
      <c r="N16" s="47"/>
      <c r="O16" s="45">
        <f>SUM(L16:N16)</f>
        <v>0</v>
      </c>
      <c r="P16" s="45"/>
      <c r="Q16" s="51"/>
      <c r="R16" s="43"/>
      <c r="S16" s="25"/>
      <c r="T16" s="25"/>
      <c r="U16" s="1"/>
    </row>
    <row r="17" spans="1:21">
      <c r="A17" s="40"/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47"/>
      <c r="M17" s="47"/>
      <c r="N17" s="47"/>
      <c r="O17" s="45">
        <f>SUM(L17:N17)</f>
        <v>0</v>
      </c>
      <c r="P17" s="45"/>
      <c r="Q17" s="51"/>
      <c r="R17" s="43"/>
      <c r="S17" s="25"/>
      <c r="T17" s="25"/>
      <c r="U17" s="1"/>
    </row>
    <row r="18" spans="1:21">
      <c r="A18" s="40"/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47"/>
      <c r="M18" s="47"/>
      <c r="N18" s="47"/>
      <c r="O18" s="45">
        <f>SUM(L18:N18)</f>
        <v>0</v>
      </c>
      <c r="P18" s="45"/>
      <c r="Q18" s="51"/>
      <c r="R18" s="43"/>
      <c r="S18" s="25"/>
      <c r="T18" s="25"/>
      <c r="U18" s="1"/>
    </row>
    <row r="19" spans="1:21">
      <c r="A19" s="40"/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47"/>
      <c r="M19" s="47"/>
      <c r="N19" s="47"/>
      <c r="O19" s="45">
        <f>SUM(L19:N19)</f>
        <v>0</v>
      </c>
      <c r="P19" s="45"/>
      <c r="Q19" s="51"/>
      <c r="R19" s="43"/>
      <c r="S19" s="25"/>
      <c r="T19" s="25"/>
      <c r="U19" s="1"/>
    </row>
    <row r="20" spans="1:21">
      <c r="A20" s="40"/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47"/>
      <c r="M20" s="47"/>
      <c r="N20" s="47"/>
      <c r="O20" s="45">
        <f>SUM(L20:N20)</f>
        <v>0</v>
      </c>
      <c r="P20" s="45"/>
      <c r="Q20" s="51"/>
      <c r="R20" s="43"/>
      <c r="S20" s="25"/>
      <c r="T20" s="25"/>
      <c r="U20" s="1"/>
    </row>
    <row r="21" spans="1:21">
      <c r="A21" s="40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7"/>
      <c r="M21" s="47"/>
      <c r="N21" s="47"/>
      <c r="O21" s="45">
        <f>SUM(L21:N21)</f>
        <v>0</v>
      </c>
      <c r="P21" s="45"/>
      <c r="Q21" s="51"/>
      <c r="R21" s="43"/>
      <c r="S21" s="25"/>
      <c r="T21" s="25"/>
      <c r="U21" s="1"/>
    </row>
    <row r="22" spans="1:21">
      <c r="A22" s="40"/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47"/>
      <c r="M22" s="47"/>
      <c r="N22" s="47"/>
      <c r="O22" s="45">
        <f>SUM(L22:N22)</f>
        <v>0</v>
      </c>
      <c r="P22" s="45"/>
      <c r="Q22" s="51"/>
      <c r="R22" s="43"/>
      <c r="S22" s="25"/>
      <c r="T22" s="25"/>
      <c r="U22" s="1"/>
    </row>
    <row r="23" spans="1:21">
      <c r="A23" s="40"/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47"/>
      <c r="M23" s="47"/>
      <c r="N23" s="47"/>
      <c r="O23" s="45">
        <f>SUM(L23:N23)</f>
        <v>0</v>
      </c>
      <c r="P23" s="45"/>
      <c r="Q23" s="51"/>
      <c r="R23" s="43"/>
      <c r="S23" s="25"/>
      <c r="T23" s="25"/>
      <c r="U23" s="1"/>
    </row>
    <row r="24" spans="1:21">
      <c r="A24" s="40"/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47"/>
      <c r="M24" s="47"/>
      <c r="N24" s="47"/>
      <c r="O24" s="45">
        <f>SUM(L24:N24)</f>
        <v>0</v>
      </c>
      <c r="P24" s="45"/>
      <c r="Q24" s="51"/>
      <c r="R24" s="43"/>
      <c r="S24" s="25"/>
      <c r="T24" s="25"/>
      <c r="U24" s="1"/>
    </row>
    <row r="25" spans="1:21">
      <c r="A25" s="40"/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47"/>
      <c r="M25" s="47"/>
      <c r="N25" s="47"/>
      <c r="O25" s="45">
        <f>SUM(L25:N25)</f>
        <v>0</v>
      </c>
      <c r="P25" s="45"/>
      <c r="Q25" s="51"/>
      <c r="R25" s="43"/>
      <c r="S25" s="25"/>
      <c r="T25" s="25"/>
      <c r="U25" s="1"/>
    </row>
    <row r="26" spans="1:21">
      <c r="A26" s="40"/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47"/>
      <c r="M26" s="47"/>
      <c r="N26" s="47"/>
      <c r="O26" s="45">
        <f>SUM(L26:N26)</f>
        <v>0</v>
      </c>
      <c r="P26" s="45"/>
      <c r="Q26" s="51"/>
      <c r="R26" s="43"/>
      <c r="S26" s="25"/>
      <c r="T26" s="25"/>
      <c r="U26" s="1"/>
    </row>
    <row r="27" spans="1:21">
      <c r="A27" s="40"/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47"/>
      <c r="M27" s="47"/>
      <c r="N27" s="47"/>
      <c r="O27" s="45">
        <f>SUM(L27:N27)</f>
        <v>0</v>
      </c>
      <c r="P27" s="45"/>
      <c r="Q27" s="51"/>
      <c r="R27" s="43"/>
      <c r="S27" s="25"/>
      <c r="T27" s="25"/>
      <c r="U27" s="1"/>
    </row>
    <row r="28" spans="1:21">
      <c r="A28" s="40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47"/>
      <c r="M28" s="47"/>
      <c r="N28" s="47"/>
      <c r="O28" s="45">
        <f>SUM(L28:N28)</f>
        <v>0</v>
      </c>
      <c r="P28" s="45"/>
      <c r="Q28" s="51"/>
      <c r="R28" s="43"/>
      <c r="S28" s="25"/>
      <c r="T28" s="25"/>
      <c r="U28" s="1"/>
    </row>
    <row r="29" spans="1:21">
      <c r="A29" s="40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47"/>
      <c r="M29" s="47"/>
      <c r="N29" s="47"/>
      <c r="O29" s="45">
        <f>SUM(L29:N29)</f>
        <v>0</v>
      </c>
      <c r="P29" s="45"/>
      <c r="Q29" s="51"/>
      <c r="R29" s="43"/>
      <c r="S29" s="25"/>
      <c r="T29" s="25"/>
      <c r="U29" s="1"/>
    </row>
    <row r="30" spans="1:21">
      <c r="A30" s="40"/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47"/>
      <c r="M30" s="47"/>
      <c r="N30" s="47"/>
      <c r="O30" s="45">
        <f>SUM(L30:N30)</f>
        <v>0</v>
      </c>
      <c r="P30" s="45"/>
      <c r="Q30" s="51"/>
      <c r="R30" s="43"/>
      <c r="S30" s="25"/>
      <c r="T30" s="25"/>
      <c r="U30" s="1"/>
    </row>
    <row r="31" spans="1:21">
      <c r="A31" s="40"/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47"/>
      <c r="M31" s="47"/>
      <c r="N31" s="47"/>
      <c r="O31" s="45">
        <f>SUM(L31:N31)</f>
        <v>0</v>
      </c>
      <c r="P31" s="45"/>
      <c r="Q31" s="51"/>
      <c r="R31" s="43"/>
      <c r="S31" s="25"/>
      <c r="T31" s="25"/>
      <c r="U31" s="1"/>
    </row>
    <row r="32" spans="1:21">
      <c r="A32" s="40"/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47"/>
      <c r="M32" s="47"/>
      <c r="N32" s="47"/>
      <c r="O32" s="45">
        <f>SUM(L32:N32)</f>
        <v>0</v>
      </c>
      <c r="P32" s="45"/>
      <c r="Q32" s="51"/>
      <c r="R32" s="43"/>
      <c r="S32" s="25"/>
      <c r="T32" s="25"/>
      <c r="U32" s="1"/>
    </row>
    <row r="33" spans="1:21">
      <c r="A33" s="40"/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47"/>
      <c r="M33" s="47"/>
      <c r="N33" s="47"/>
      <c r="O33" s="45">
        <f>SUM(L33:N33)</f>
        <v>0</v>
      </c>
      <c r="P33" s="45"/>
      <c r="Q33" s="51"/>
      <c r="R33" s="43"/>
      <c r="S33" s="25"/>
      <c r="T33" s="25"/>
      <c r="U33" s="1"/>
    </row>
    <row r="34" spans="1:21">
      <c r="A34" s="40"/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47"/>
      <c r="M34" s="47"/>
      <c r="N34" s="47"/>
      <c r="O34" s="45">
        <f>SUM(L34:N34)</f>
        <v>0</v>
      </c>
      <c r="P34" s="45"/>
      <c r="Q34" s="51"/>
      <c r="R34" s="43"/>
      <c r="S34" s="25"/>
      <c r="T34" s="25"/>
      <c r="U34" s="1"/>
    </row>
    <row r="35" spans="1:21">
      <c r="A35" s="40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47"/>
      <c r="M35" s="47"/>
      <c r="N35" s="47"/>
      <c r="O35" s="45">
        <f>SUM(L35:N35)</f>
        <v>0</v>
      </c>
      <c r="P35" s="45"/>
      <c r="Q35" s="51"/>
      <c r="R35" s="43"/>
      <c r="S35" s="25"/>
      <c r="T35" s="25"/>
      <c r="U35" s="1"/>
    </row>
    <row r="36" spans="1:21">
      <c r="A36" s="40"/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47"/>
      <c r="M36" s="47"/>
      <c r="N36" s="47"/>
      <c r="O36" s="45">
        <f>SUM(L36:N36)</f>
        <v>0</v>
      </c>
      <c r="P36" s="45"/>
      <c r="Q36" s="51"/>
      <c r="R36" s="43"/>
      <c r="S36" s="25"/>
      <c r="T36" s="25"/>
      <c r="U36" s="1"/>
    </row>
    <row r="37" spans="1:21">
      <c r="A37" s="40"/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47"/>
      <c r="M37" s="47"/>
      <c r="N37" s="47"/>
      <c r="O37" s="45">
        <f>SUM(L37:N37)</f>
        <v>0</v>
      </c>
      <c r="P37" s="45"/>
      <c r="Q37" s="51"/>
      <c r="R37" s="43"/>
      <c r="S37" s="25"/>
      <c r="T37" s="25"/>
      <c r="U37" s="1"/>
    </row>
    <row r="38" spans="1:21">
      <c r="A38" s="40"/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47"/>
      <c r="M38" s="47"/>
      <c r="N38" s="47"/>
      <c r="O38" s="45">
        <f>SUM(L38:N38)</f>
        <v>0</v>
      </c>
      <c r="P38" s="45"/>
      <c r="Q38" s="51"/>
      <c r="R38" s="43"/>
      <c r="S38" s="25"/>
      <c r="T38" s="25"/>
      <c r="U38" s="1"/>
    </row>
    <row r="39" spans="1:21">
      <c r="A39" s="40"/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47"/>
      <c r="M39" s="47"/>
      <c r="N39" s="47"/>
      <c r="O39" s="45">
        <f>SUM(L39:N39)</f>
        <v>0</v>
      </c>
      <c r="P39" s="45"/>
      <c r="Q39" s="51"/>
      <c r="R39" s="43"/>
      <c r="S39" s="28"/>
      <c r="T39" s="25"/>
      <c r="U39" s="1"/>
    </row>
    <row r="40" spans="1:21">
      <c r="A40" s="40"/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47"/>
      <c r="M40" s="47"/>
      <c r="N40" s="47"/>
      <c r="O40" s="45">
        <f>SUM(L40:N40)</f>
        <v>0</v>
      </c>
      <c r="P40" s="45"/>
      <c r="Q40" s="51"/>
      <c r="R40" s="43"/>
      <c r="S40" s="28"/>
      <c r="T40" s="25"/>
      <c r="U40" s="1"/>
    </row>
    <row r="41" spans="1:21">
      <c r="A41" s="40"/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47"/>
      <c r="M41" s="47"/>
      <c r="N41" s="47"/>
      <c r="O41" s="45">
        <f>SUM(L41:N41)</f>
        <v>0</v>
      </c>
      <c r="P41" s="45"/>
      <c r="Q41" s="51"/>
      <c r="R41" s="43"/>
      <c r="S41" s="25"/>
      <c r="T41" s="25"/>
      <c r="U41" s="1"/>
    </row>
    <row r="42" spans="1:21">
      <c r="A42" s="40"/>
      <c r="B42" s="37"/>
      <c r="C42" s="36"/>
      <c r="D42" s="36"/>
      <c r="E42" s="36"/>
      <c r="F42" s="36"/>
      <c r="G42" s="36"/>
      <c r="H42" s="36"/>
      <c r="I42" s="36"/>
      <c r="J42" s="36"/>
      <c r="K42" s="36"/>
      <c r="L42" s="47"/>
      <c r="M42" s="47"/>
      <c r="N42" s="47"/>
      <c r="O42" s="45">
        <f>SUM(L42:N42)</f>
        <v>0</v>
      </c>
      <c r="P42" s="45"/>
      <c r="Q42" s="51"/>
      <c r="R42" s="43"/>
      <c r="S42" s="25"/>
      <c r="T42" s="25"/>
      <c r="U42" s="1"/>
    </row>
    <row r="43" spans="1:21">
      <c r="A43" s="40"/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47"/>
      <c r="M43" s="47"/>
      <c r="N43" s="47"/>
      <c r="O43" s="45">
        <f>SUM(L43:N43)</f>
        <v>0</v>
      </c>
      <c r="P43" s="45"/>
      <c r="Q43" s="51"/>
      <c r="R43" s="43"/>
      <c r="S43" s="25"/>
      <c r="T43" s="25"/>
      <c r="U43" s="1"/>
    </row>
    <row r="44" spans="1:21">
      <c r="A44" s="40"/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47"/>
      <c r="M44" s="47"/>
      <c r="N44" s="47"/>
      <c r="O44" s="45">
        <f>SUM(L44:N44)</f>
        <v>0</v>
      </c>
      <c r="P44" s="45"/>
      <c r="Q44" s="51"/>
      <c r="R44" s="43"/>
      <c r="S44" s="25"/>
      <c r="T44" s="25"/>
      <c r="U44" s="1"/>
    </row>
    <row r="45" spans="1:21">
      <c r="A45" s="40"/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47"/>
      <c r="M45" s="47"/>
      <c r="N45" s="47"/>
      <c r="O45" s="45">
        <f>SUM(L45:N45)</f>
        <v>0</v>
      </c>
      <c r="P45" s="45"/>
      <c r="Q45" s="51"/>
      <c r="R45" s="43"/>
      <c r="S45" s="25"/>
      <c r="T45" s="25"/>
      <c r="U45" s="1"/>
    </row>
    <row r="46" spans="1:21" ht="12.75">
      <c r="A46" s="29" t="s">
        <v>20</v>
      </c>
      <c r="B46" s="38">
        <f>SUM(B15:B45)</f>
        <v>0</v>
      </c>
      <c r="C46" s="38">
        <f>SUM(C15:C45)</f>
        <v>0</v>
      </c>
      <c r="D46" s="38">
        <f>SUM(D15:D45)</f>
        <v>0</v>
      </c>
      <c r="E46" s="38">
        <f>SUM(E15:E45)</f>
        <v>0</v>
      </c>
      <c r="F46" s="38">
        <f>SUM(F15:F45)</f>
        <v>0</v>
      </c>
      <c r="G46" s="38">
        <f>SUM(G15:G45)</f>
        <v>0</v>
      </c>
      <c r="H46" s="38">
        <f>SUM(H15:H45)</f>
        <v>0</v>
      </c>
      <c r="I46" s="38">
        <f>SUM(I15:I45)</f>
        <v>0</v>
      </c>
      <c r="J46" s="38">
        <f t="shared" ref="J46:K46" si="0">SUM(J15:J45)</f>
        <v>0</v>
      </c>
      <c r="K46" s="38">
        <f t="shared" si="0"/>
        <v>0</v>
      </c>
      <c r="L46" s="46">
        <f>SUM(L15:L45)</f>
        <v>0</v>
      </c>
      <c r="M46" s="46">
        <f>SUM(M15:M45)</f>
        <v>0</v>
      </c>
      <c r="N46" s="46">
        <f>SUM(N15:N45)</f>
        <v>0</v>
      </c>
      <c r="O46" s="46">
        <f>SUM(O15:O45)</f>
        <v>0</v>
      </c>
      <c r="P46" s="61">
        <f>IF(SUM(P15:P45)&gt;=40000,"$40000",SUM(P15:P45))</f>
        <v>0</v>
      </c>
      <c r="Q46" s="51"/>
      <c r="R46" s="44"/>
      <c r="S46" s="26"/>
      <c r="T46" s="26"/>
      <c r="U46" s="14"/>
    </row>
    <row r="47" spans="1:21">
      <c r="S47" s="1"/>
      <c r="T47" s="1"/>
      <c r="U47" s="1"/>
    </row>
  </sheetData>
  <mergeCells count="29">
    <mergeCell ref="B13:F13"/>
    <mergeCell ref="G13:K13"/>
    <mergeCell ref="Q13:Q14"/>
    <mergeCell ref="P13:P14"/>
    <mergeCell ref="O13:O14"/>
    <mergeCell ref="N13:N14"/>
    <mergeCell ref="M13:M14"/>
    <mergeCell ref="L13:L14"/>
    <mergeCell ref="A10:B10"/>
    <mergeCell ref="C10:F10"/>
    <mergeCell ref="G10:I10"/>
    <mergeCell ref="J10:K10"/>
    <mergeCell ref="L10:N10"/>
    <mergeCell ref="A9:B9"/>
    <mergeCell ref="C9:F9"/>
    <mergeCell ref="G9:J9"/>
    <mergeCell ref="K9:N9"/>
    <mergeCell ref="A5:B5"/>
    <mergeCell ref="C5:O5"/>
    <mergeCell ref="A8:B8"/>
    <mergeCell ref="C8:F8"/>
    <mergeCell ref="G8:J8"/>
    <mergeCell ref="K8:N8"/>
    <mergeCell ref="A2:B2"/>
    <mergeCell ref="C2:O2"/>
    <mergeCell ref="A3:B3"/>
    <mergeCell ref="C3:O3"/>
    <mergeCell ref="A4:B4"/>
    <mergeCell ref="C4:O4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A1:X23"/>
  <sheetViews>
    <sheetView view="pageBreakPreview" zoomScaleNormal="100" workbookViewId="0">
      <selection activeCell="D5" sqref="D5:M5"/>
    </sheetView>
  </sheetViews>
  <sheetFormatPr baseColWidth="10" defaultRowHeight="15"/>
  <cols>
    <col min="1" max="1" width="5.42578125" style="1" customWidth="1"/>
    <col min="2" max="2" width="5.7109375" style="1" customWidth="1"/>
    <col min="3" max="10" width="6.7109375" style="1" customWidth="1"/>
    <col min="11" max="11" width="5.42578125" style="1" customWidth="1"/>
    <col min="12" max="12" width="5.28515625" style="1" customWidth="1"/>
    <col min="13" max="13" width="6.7109375" style="1" customWidth="1"/>
    <col min="14" max="14" width="2.7109375" style="1" customWidth="1"/>
    <col min="15" max="15" width="6.28515625" style="1" customWidth="1"/>
    <col min="16" max="16" width="6.7109375" style="1" customWidth="1"/>
    <col min="17" max="17" width="8.28515625" style="1" customWidth="1"/>
    <col min="18" max="18" width="8.140625" style="1" customWidth="1"/>
    <col min="19" max="21" width="6.7109375" style="1" customWidth="1"/>
    <col min="22" max="22" width="8.7109375" style="1" customWidth="1"/>
    <col min="23" max="23" width="7.140625" style="1" customWidth="1"/>
    <col min="24" max="24" width="12.28515625" style="1" customWidth="1"/>
  </cols>
  <sheetData>
    <row r="1" spans="2:21" ht="29.25" customHeight="1">
      <c r="B1" s="2" t="s">
        <v>48</v>
      </c>
    </row>
    <row r="2" spans="2:21" ht="15.75" customHeight="1">
      <c r="B2" s="137" t="s">
        <v>0</v>
      </c>
      <c r="C2" s="137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48"/>
      <c r="O2" s="39"/>
    </row>
    <row r="3" spans="2:21" ht="15.75" customHeight="1">
      <c r="B3" s="137" t="s">
        <v>1</v>
      </c>
      <c r="C3" s="137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48"/>
      <c r="O3" s="39"/>
    </row>
    <row r="4" spans="2:21">
      <c r="B4" s="137" t="s">
        <v>2</v>
      </c>
      <c r="C4" s="137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48"/>
      <c r="O4" s="39"/>
    </row>
    <row r="5" spans="2:21" ht="15" customHeight="1">
      <c r="B5" s="137" t="s">
        <v>3</v>
      </c>
      <c r="C5" s="137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48"/>
      <c r="O5" s="39"/>
      <c r="P5" s="4"/>
      <c r="Q5" s="4"/>
    </row>
    <row r="6" spans="2:21" ht="15" customHeight="1">
      <c r="B6" s="5"/>
      <c r="C6" s="3"/>
      <c r="O6" s="4"/>
      <c r="P6" s="4"/>
      <c r="Q6" s="4"/>
    </row>
    <row r="7" spans="2:21">
      <c r="B7" s="5" t="s">
        <v>11</v>
      </c>
    </row>
    <row r="8" spans="2:21">
      <c r="B8" s="5"/>
      <c r="C8" s="5"/>
      <c r="D8" s="5"/>
      <c r="E8" s="5"/>
      <c r="F8" s="167"/>
      <c r="G8" s="167"/>
      <c r="I8" s="166" t="s">
        <v>21</v>
      </c>
      <c r="J8" s="166"/>
      <c r="K8" s="164">
        <v>13000</v>
      </c>
      <c r="L8" s="164"/>
    </row>
    <row r="9" spans="2:21">
      <c r="B9" s="50" t="s">
        <v>40</v>
      </c>
      <c r="C9" s="18"/>
      <c r="D9" s="19"/>
      <c r="E9" s="53"/>
      <c r="F9" s="54"/>
      <c r="G9" s="20"/>
      <c r="I9" s="165" t="s">
        <v>22</v>
      </c>
      <c r="J9" s="165"/>
      <c r="K9" s="164">
        <v>21000</v>
      </c>
      <c r="L9" s="164"/>
    </row>
    <row r="10" spans="2:21">
      <c r="B10" s="18"/>
      <c r="C10" s="18"/>
      <c r="D10" s="19"/>
      <c r="E10" s="19"/>
      <c r="F10" s="20"/>
      <c r="G10" s="20"/>
      <c r="I10" s="165" t="s">
        <v>23</v>
      </c>
      <c r="J10" s="165"/>
      <c r="K10" s="164">
        <v>27000</v>
      </c>
      <c r="L10" s="164"/>
    </row>
    <row r="11" spans="2:21">
      <c r="B11" s="18"/>
      <c r="C11" s="18"/>
      <c r="D11" s="19"/>
      <c r="E11" s="19"/>
      <c r="F11" s="20"/>
      <c r="G11" s="20"/>
      <c r="I11" s="165" t="s">
        <v>24</v>
      </c>
      <c r="J11" s="165"/>
      <c r="K11" s="164">
        <v>31200</v>
      </c>
      <c r="L11" s="164"/>
    </row>
    <row r="12" spans="2:21">
      <c r="B12" s="18"/>
      <c r="C12" s="20"/>
      <c r="D12" s="20"/>
      <c r="E12" s="163"/>
      <c r="F12" s="163"/>
    </row>
    <row r="13" spans="2:21">
      <c r="B13" s="6"/>
      <c r="C13" s="6"/>
    </row>
    <row r="14" spans="2:21">
      <c r="B14" s="5"/>
    </row>
    <row r="15" spans="2:21"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15"/>
      <c r="P15" s="15"/>
      <c r="Q15" s="15"/>
      <c r="R15" s="15"/>
      <c r="S15" s="15"/>
      <c r="T15" s="11"/>
      <c r="U15" s="11"/>
    </row>
    <row r="16" spans="2:21" ht="15" customHeight="1"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3"/>
      <c r="N16" s="23"/>
      <c r="O16" s="17"/>
      <c r="P16" s="17"/>
      <c r="S16" s="17"/>
      <c r="T16" s="13"/>
      <c r="U16" s="13"/>
    </row>
    <row r="17" spans="2:21" ht="15" customHeight="1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4"/>
      <c r="N17" s="24"/>
      <c r="O17" s="17"/>
      <c r="P17" s="17"/>
      <c r="S17" s="17"/>
      <c r="T17" s="13"/>
      <c r="U17" s="13"/>
    </row>
    <row r="18" spans="2:21" ht="15" customHeight="1"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3"/>
      <c r="N18" s="23"/>
      <c r="O18" s="12"/>
      <c r="P18" s="12"/>
      <c r="S18" s="16"/>
      <c r="T18" s="12"/>
      <c r="U18" s="12"/>
    </row>
    <row r="19" spans="2:21" ht="15" customHeight="1"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3"/>
      <c r="N19" s="23"/>
      <c r="O19" s="12"/>
      <c r="P19" s="12"/>
      <c r="S19" s="16"/>
      <c r="T19" s="12"/>
      <c r="U19" s="12"/>
    </row>
    <row r="20" spans="2:21" ht="15" customHeight="1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3"/>
      <c r="N20" s="23"/>
      <c r="O20" s="12"/>
      <c r="P20" s="12"/>
      <c r="S20" s="16"/>
      <c r="T20" s="12"/>
      <c r="U20" s="12"/>
    </row>
    <row r="21" spans="2:21" ht="15" customHeight="1"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3"/>
      <c r="N21" s="23"/>
      <c r="O21" s="12"/>
      <c r="P21" s="12"/>
      <c r="S21" s="16"/>
      <c r="T21" s="12"/>
      <c r="U21" s="12"/>
    </row>
    <row r="22" spans="2:21">
      <c r="C22" s="5"/>
      <c r="D22" s="5"/>
      <c r="E22" s="5"/>
      <c r="F22" s="5"/>
      <c r="G22" s="5"/>
      <c r="H22" s="5"/>
      <c r="J22" s="5"/>
      <c r="K22" s="5"/>
      <c r="L22" s="5"/>
    </row>
    <row r="23" spans="2:21">
      <c r="J23" s="5"/>
      <c r="K23" s="5"/>
      <c r="L23" s="5"/>
    </row>
  </sheetData>
  <mergeCells count="18">
    <mergeCell ref="K9:L9"/>
    <mergeCell ref="I9:J9"/>
    <mergeCell ref="K8:L8"/>
    <mergeCell ref="I8:J8"/>
    <mergeCell ref="F8:G8"/>
    <mergeCell ref="B2:C2"/>
    <mergeCell ref="B5:C5"/>
    <mergeCell ref="B4:C4"/>
    <mergeCell ref="B3:C3"/>
    <mergeCell ref="D2:M2"/>
    <mergeCell ref="D3:M3"/>
    <mergeCell ref="D4:M4"/>
    <mergeCell ref="D5:M5"/>
    <mergeCell ref="E12:F12"/>
    <mergeCell ref="K11:L11"/>
    <mergeCell ref="I11:J11"/>
    <mergeCell ref="K10:L10"/>
    <mergeCell ref="I10:J10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/>
  </sheetPr>
  <dimension ref="A1:DR58"/>
  <sheetViews>
    <sheetView showGridLines="0" view="pageBreakPreview" topLeftCell="A28" zoomScale="80" zoomScaleNormal="70" zoomScaleSheetLayoutView="80" workbookViewId="0">
      <selection activeCell="J50" sqref="J50"/>
    </sheetView>
  </sheetViews>
  <sheetFormatPr baseColWidth="10" defaultRowHeight="15"/>
  <cols>
    <col min="1" max="2" width="1" style="107" customWidth="1"/>
    <col min="3" max="3" width="9.85546875" style="107" customWidth="1"/>
    <col min="4" max="4" width="11.85546875" style="107" customWidth="1"/>
    <col min="5" max="5" width="8.7109375" style="107" customWidth="1"/>
    <col min="6" max="6" width="19.5703125" style="107" customWidth="1"/>
    <col min="7" max="7" width="16.7109375" style="107" customWidth="1"/>
    <col min="8" max="8" width="11.140625" style="107" customWidth="1"/>
    <col min="9" max="9" width="10.85546875" style="107" customWidth="1"/>
    <col min="10" max="10" width="20.140625" style="107" customWidth="1"/>
    <col min="11" max="11" width="2.85546875" style="107" customWidth="1"/>
    <col min="12" max="12" width="7" style="107" customWidth="1"/>
    <col min="13" max="13" width="6" style="107" customWidth="1"/>
    <col min="14" max="14" width="1.28515625" style="107" customWidth="1"/>
    <col min="15" max="15" width="2.85546875" style="107" customWidth="1"/>
    <col min="16" max="16" width="5" style="107" customWidth="1"/>
    <col min="17" max="16384" width="11.42578125" style="107"/>
  </cols>
  <sheetData>
    <row r="1" spans="1:17" ht="15" customHeight="1">
      <c r="B1" s="62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108"/>
      <c r="O1" s="108"/>
      <c r="P1" s="108"/>
    </row>
    <row r="2" spans="1:17" ht="15" customHeight="1">
      <c r="B2" s="62"/>
      <c r="C2" s="63"/>
      <c r="D2" s="63"/>
      <c r="F2" s="114" t="s">
        <v>61</v>
      </c>
      <c r="G2" s="63"/>
      <c r="H2" s="63"/>
      <c r="I2" s="63"/>
      <c r="J2" s="63"/>
      <c r="K2" s="63"/>
      <c r="L2" s="63"/>
      <c r="M2" s="64"/>
      <c r="N2" s="108"/>
      <c r="O2" s="108"/>
      <c r="P2" s="108"/>
    </row>
    <row r="3" spans="1:17" ht="15" customHeight="1">
      <c r="B3" s="62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108"/>
      <c r="O3" s="108"/>
      <c r="P3" s="108"/>
    </row>
    <row r="4" spans="1:17" ht="16.5" customHeight="1">
      <c r="B4" s="182" t="s">
        <v>50</v>
      </c>
      <c r="C4" s="181"/>
      <c r="D4" s="181" t="s">
        <v>51</v>
      </c>
      <c r="E4" s="181"/>
      <c r="F4" s="181"/>
      <c r="G4" s="181"/>
      <c r="H4" s="181"/>
      <c r="I4" s="181"/>
      <c r="J4" s="181"/>
      <c r="K4" s="181"/>
      <c r="L4"/>
      <c r="M4" s="65"/>
      <c r="N4" s="65"/>
      <c r="O4" s="108"/>
      <c r="P4" s="110"/>
      <c r="Q4" s="113"/>
    </row>
    <row r="5" spans="1:17" ht="18.75" customHeight="1">
      <c r="B5" s="66"/>
      <c r="C5" s="31" t="s">
        <v>67</v>
      </c>
      <c r="D5" s="12"/>
      <c r="E5" s="12"/>
      <c r="F5" s="12"/>
      <c r="G5" s="12"/>
      <c r="H5" s="31"/>
      <c r="I5" s="12"/>
      <c r="J5" s="12"/>
      <c r="K5" s="122"/>
      <c r="L5" s="12"/>
      <c r="N5" s="67"/>
      <c r="O5" s="108"/>
      <c r="P5" s="110"/>
      <c r="Q5" s="113"/>
    </row>
    <row r="6" spans="1:17" ht="19.5" customHeight="1">
      <c r="B6" s="66"/>
      <c r="C6" s="141" t="s">
        <v>0</v>
      </c>
      <c r="D6" s="141"/>
      <c r="E6" s="183"/>
      <c r="F6" s="184"/>
      <c r="G6" s="184"/>
      <c r="H6" s="184"/>
      <c r="I6" s="184"/>
      <c r="J6" s="185"/>
      <c r="K6" s="123"/>
      <c r="L6"/>
      <c r="N6" s="67"/>
      <c r="O6" s="108"/>
      <c r="P6" s="110"/>
      <c r="Q6" s="113"/>
    </row>
    <row r="7" spans="1:17" ht="21.75" customHeight="1">
      <c r="B7" s="66"/>
      <c r="C7" s="141" t="s">
        <v>1</v>
      </c>
      <c r="D7" s="141"/>
      <c r="E7" s="183"/>
      <c r="F7" s="184"/>
      <c r="G7" s="184"/>
      <c r="H7" s="184"/>
      <c r="I7" s="184"/>
      <c r="J7" s="185"/>
      <c r="K7"/>
      <c r="L7" s="124"/>
      <c r="M7" s="68"/>
      <c r="N7" s="67"/>
      <c r="O7" s="108"/>
      <c r="P7" s="110"/>
      <c r="Q7" s="113"/>
    </row>
    <row r="8" spans="1:17" ht="21" customHeight="1">
      <c r="B8" s="66"/>
      <c r="C8" s="141" t="s">
        <v>2</v>
      </c>
      <c r="D8" s="141"/>
      <c r="E8" s="183"/>
      <c r="F8" s="184"/>
      <c r="G8" s="184"/>
      <c r="H8" s="184"/>
      <c r="I8" s="184"/>
      <c r="J8" s="185"/>
      <c r="K8"/>
      <c r="L8" s="124"/>
      <c r="M8" s="68"/>
      <c r="N8" s="67"/>
      <c r="O8" s="108"/>
      <c r="P8" s="110"/>
    </row>
    <row r="9" spans="1:17" ht="18.75" customHeight="1">
      <c r="B9" s="66"/>
      <c r="C9" s="141" t="s">
        <v>3</v>
      </c>
      <c r="D9" s="141"/>
      <c r="E9" s="183"/>
      <c r="F9" s="184"/>
      <c r="G9" s="184"/>
      <c r="H9" s="184"/>
      <c r="I9" s="184"/>
      <c r="J9" s="185"/>
      <c r="K9"/>
      <c r="L9" s="124"/>
      <c r="M9" s="69"/>
      <c r="N9" s="67"/>
      <c r="O9" s="108"/>
      <c r="P9" s="110"/>
    </row>
    <row r="10" spans="1:17" ht="14.25" customHeight="1">
      <c r="B10" s="70"/>
      <c r="C10" s="119"/>
      <c r="D10" s="120"/>
      <c r="E10" s="121"/>
      <c r="F10" s="121"/>
      <c r="G10" s="121"/>
      <c r="H10" s="121"/>
      <c r="I10" s="121"/>
      <c r="J10" s="121"/>
      <c r="K10" s="125"/>
      <c r="L10" s="124"/>
      <c r="M10" s="71"/>
      <c r="N10" s="112"/>
      <c r="O10" s="108"/>
      <c r="P10" s="110"/>
    </row>
    <row r="11" spans="1:17" ht="12.75" customHeight="1">
      <c r="A11" s="72"/>
      <c r="B11" s="73"/>
      <c r="C11" s="71"/>
      <c r="D11" s="71"/>
      <c r="E11" s="71"/>
      <c r="F11" s="71"/>
      <c r="G11" s="71"/>
      <c r="H11" s="71"/>
      <c r="I11" s="71"/>
      <c r="J11" s="71"/>
      <c r="K11" s="75"/>
      <c r="L11" s="74"/>
      <c r="M11" s="76"/>
      <c r="N11" s="111"/>
      <c r="O11" s="108"/>
      <c r="P11" s="110"/>
    </row>
    <row r="12" spans="1:17" ht="6" customHeight="1">
      <c r="A12" s="72"/>
      <c r="B12" s="73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111"/>
      <c r="O12" s="110"/>
      <c r="P12" s="110"/>
    </row>
    <row r="13" spans="1:17" ht="16.5" customHeight="1">
      <c r="A13" s="78"/>
      <c r="B13" s="172" t="s">
        <v>52</v>
      </c>
      <c r="C13" s="173"/>
      <c r="D13" s="173" t="s">
        <v>53</v>
      </c>
      <c r="E13" s="173"/>
      <c r="F13" s="173"/>
      <c r="G13" s="173"/>
      <c r="H13" s="173"/>
      <c r="I13" s="173"/>
      <c r="J13" s="173"/>
      <c r="K13" s="174"/>
      <c r="L13" s="65"/>
      <c r="M13" s="65"/>
      <c r="N13" s="111"/>
      <c r="O13" s="110"/>
      <c r="P13" s="110"/>
    </row>
    <row r="14" spans="1:17" s="63" customFormat="1" ht="14.25" customHeight="1">
      <c r="A14" s="79"/>
      <c r="B14" s="80"/>
      <c r="C14" s="175" t="s">
        <v>62</v>
      </c>
      <c r="D14" s="175"/>
      <c r="E14" s="175"/>
      <c r="F14" s="175"/>
      <c r="G14" s="175"/>
      <c r="H14" s="175"/>
      <c r="I14" s="175"/>
      <c r="J14" s="175"/>
      <c r="K14" s="176"/>
      <c r="L14" s="81"/>
      <c r="M14" s="81"/>
      <c r="N14" s="111"/>
      <c r="O14" s="110"/>
      <c r="P14" s="109"/>
    </row>
    <row r="15" spans="1:17" s="63" customFormat="1" ht="15" customHeight="1">
      <c r="A15" s="79"/>
      <c r="B15" s="80"/>
      <c r="C15" s="169" t="s">
        <v>54</v>
      </c>
      <c r="D15" s="170"/>
      <c r="E15" s="177" t="s">
        <v>55</v>
      </c>
      <c r="F15" s="178"/>
      <c r="G15" s="178"/>
      <c r="H15" s="178"/>
      <c r="I15" s="178"/>
      <c r="J15" s="178"/>
      <c r="K15" s="82"/>
      <c r="L15" s="171"/>
      <c r="M15" s="171"/>
      <c r="N15" s="111"/>
      <c r="O15" s="110"/>
      <c r="P15" s="109"/>
    </row>
    <row r="16" spans="1:17" s="63" customFormat="1" ht="42.75" customHeight="1" thickBot="1">
      <c r="A16" s="79"/>
      <c r="B16" s="80"/>
      <c r="C16" s="83" t="s">
        <v>56</v>
      </c>
      <c r="D16" s="84" t="s">
        <v>57</v>
      </c>
      <c r="E16" s="116" t="s">
        <v>58</v>
      </c>
      <c r="F16" s="117" t="s">
        <v>63</v>
      </c>
      <c r="G16" s="117" t="s">
        <v>64</v>
      </c>
      <c r="H16" s="118" t="s">
        <v>59</v>
      </c>
      <c r="I16" s="117" t="s">
        <v>65</v>
      </c>
      <c r="J16" s="117" t="s">
        <v>66</v>
      </c>
      <c r="K16" s="82"/>
      <c r="L16" s="85"/>
      <c r="M16" s="85"/>
      <c r="N16" s="111"/>
      <c r="O16" s="110"/>
      <c r="P16" s="109"/>
    </row>
    <row r="17" spans="1:19" s="63" customFormat="1" ht="18.75" customHeight="1">
      <c r="A17" s="79"/>
      <c r="B17" s="80"/>
      <c r="C17" s="86"/>
      <c r="D17" s="87"/>
      <c r="E17" s="88"/>
      <c r="F17" s="89"/>
      <c r="G17" s="89"/>
      <c r="H17" s="89"/>
      <c r="I17" s="89"/>
      <c r="J17" s="89"/>
      <c r="K17" s="82"/>
      <c r="L17" s="90"/>
      <c r="M17" s="90"/>
      <c r="N17" s="111"/>
      <c r="O17" s="110"/>
      <c r="P17" s="109"/>
    </row>
    <row r="18" spans="1:19" s="63" customFormat="1" ht="18.75" customHeight="1">
      <c r="A18" s="79"/>
      <c r="B18" s="80"/>
      <c r="C18" s="86"/>
      <c r="D18" s="87"/>
      <c r="E18" s="88"/>
      <c r="F18" s="89"/>
      <c r="G18" s="89"/>
      <c r="H18" s="89"/>
      <c r="I18" s="89"/>
      <c r="J18" s="89"/>
      <c r="K18" s="82"/>
      <c r="L18" s="90"/>
      <c r="M18" s="90"/>
      <c r="N18" s="111"/>
      <c r="O18" s="110"/>
      <c r="P18" s="109"/>
      <c r="S18" s="115"/>
    </row>
    <row r="19" spans="1:19" s="63" customFormat="1" ht="18.75" customHeight="1">
      <c r="A19" s="79"/>
      <c r="B19" s="80"/>
      <c r="C19" s="86"/>
      <c r="D19" s="87"/>
      <c r="E19" s="88"/>
      <c r="F19" s="89"/>
      <c r="G19" s="89"/>
      <c r="H19" s="89"/>
      <c r="I19" s="89"/>
      <c r="J19" s="89"/>
      <c r="K19" s="82"/>
      <c r="L19" s="90"/>
      <c r="M19" s="90"/>
      <c r="N19" s="111"/>
      <c r="O19" s="110"/>
      <c r="P19" s="109"/>
    </row>
    <row r="20" spans="1:19" s="63" customFormat="1" ht="18.75" customHeight="1">
      <c r="A20" s="79"/>
      <c r="B20" s="80"/>
      <c r="C20" s="86"/>
      <c r="D20" s="87"/>
      <c r="E20" s="88"/>
      <c r="F20" s="89"/>
      <c r="G20" s="89"/>
      <c r="H20" s="89"/>
      <c r="I20" s="89"/>
      <c r="J20" s="89"/>
      <c r="K20" s="82"/>
      <c r="L20" s="90"/>
      <c r="M20" s="90"/>
      <c r="N20" s="111"/>
      <c r="O20" s="110"/>
      <c r="P20" s="109"/>
    </row>
    <row r="21" spans="1:19" s="63" customFormat="1" ht="18.75" customHeight="1">
      <c r="A21" s="79"/>
      <c r="B21" s="80"/>
      <c r="C21" s="86"/>
      <c r="D21" s="87"/>
      <c r="E21" s="88"/>
      <c r="F21" s="89"/>
      <c r="G21" s="89"/>
      <c r="H21" s="89"/>
      <c r="I21" s="89"/>
      <c r="J21" s="89"/>
      <c r="K21" s="82"/>
      <c r="L21" s="90"/>
      <c r="M21" s="90"/>
      <c r="N21" s="111"/>
      <c r="O21" s="110"/>
      <c r="P21" s="109"/>
    </row>
    <row r="22" spans="1:19" s="63" customFormat="1" ht="18.75" customHeight="1">
      <c r="A22" s="79"/>
      <c r="B22" s="80"/>
      <c r="C22" s="86"/>
      <c r="D22" s="87"/>
      <c r="E22" s="88"/>
      <c r="F22" s="89"/>
      <c r="G22" s="89"/>
      <c r="H22" s="89"/>
      <c r="I22" s="89"/>
      <c r="J22" s="89"/>
      <c r="K22" s="82"/>
      <c r="L22" s="90"/>
      <c r="M22" s="90"/>
      <c r="N22" s="111"/>
      <c r="O22" s="110"/>
      <c r="P22" s="109"/>
    </row>
    <row r="23" spans="1:19" s="63" customFormat="1" ht="18.75" customHeight="1">
      <c r="A23" s="79"/>
      <c r="B23" s="80"/>
      <c r="C23" s="86"/>
      <c r="D23" s="87"/>
      <c r="E23" s="88"/>
      <c r="F23" s="89"/>
      <c r="G23" s="89"/>
      <c r="H23" s="89"/>
      <c r="I23" s="89"/>
      <c r="J23" s="89"/>
      <c r="K23" s="82"/>
      <c r="L23" s="90"/>
      <c r="M23" s="90"/>
      <c r="N23" s="111"/>
      <c r="O23" s="110"/>
      <c r="P23" s="109"/>
    </row>
    <row r="24" spans="1:19" s="63" customFormat="1" ht="18.75" customHeight="1">
      <c r="A24" s="79"/>
      <c r="B24" s="80"/>
      <c r="C24" s="86"/>
      <c r="D24" s="87"/>
      <c r="E24" s="88"/>
      <c r="F24" s="89"/>
      <c r="G24" s="89"/>
      <c r="H24" s="89"/>
      <c r="I24" s="89"/>
      <c r="J24" s="89"/>
      <c r="K24" s="82"/>
      <c r="L24" s="90"/>
      <c r="M24" s="90"/>
      <c r="N24" s="111"/>
      <c r="O24" s="110"/>
      <c r="P24" s="109"/>
    </row>
    <row r="25" spans="1:19" s="63" customFormat="1" ht="18.75" customHeight="1">
      <c r="A25" s="79"/>
      <c r="B25" s="80"/>
      <c r="C25" s="86"/>
      <c r="D25" s="87"/>
      <c r="E25" s="88"/>
      <c r="F25" s="89"/>
      <c r="G25" s="89"/>
      <c r="H25" s="89"/>
      <c r="I25" s="89"/>
      <c r="J25" s="89"/>
      <c r="K25" s="82"/>
      <c r="L25" s="90"/>
      <c r="M25" s="90"/>
      <c r="N25" s="111"/>
      <c r="O25" s="110"/>
      <c r="P25" s="109"/>
    </row>
    <row r="26" spans="1:19" s="63" customFormat="1" ht="18.75" customHeight="1">
      <c r="A26" s="79"/>
      <c r="B26" s="80"/>
      <c r="C26" s="86"/>
      <c r="D26" s="87"/>
      <c r="E26" s="88"/>
      <c r="F26" s="89"/>
      <c r="G26" s="89"/>
      <c r="H26" s="89"/>
      <c r="I26" s="89"/>
      <c r="J26" s="89"/>
      <c r="K26" s="82"/>
      <c r="L26" s="90"/>
      <c r="M26" s="90"/>
      <c r="N26" s="111"/>
      <c r="O26" s="110"/>
      <c r="P26" s="109"/>
    </row>
    <row r="27" spans="1:19" s="63" customFormat="1" ht="18.75" customHeight="1">
      <c r="A27" s="79"/>
      <c r="B27" s="80"/>
      <c r="C27" s="86"/>
      <c r="D27" s="87"/>
      <c r="E27" s="88"/>
      <c r="F27" s="89"/>
      <c r="G27" s="89"/>
      <c r="H27" s="89"/>
      <c r="I27" s="89"/>
      <c r="J27" s="89"/>
      <c r="K27" s="82"/>
      <c r="L27" s="90"/>
      <c r="M27" s="90"/>
      <c r="N27" s="111"/>
      <c r="O27" s="110"/>
      <c r="P27" s="109"/>
    </row>
    <row r="28" spans="1:19" s="63" customFormat="1" ht="18.75" customHeight="1">
      <c r="A28" s="79"/>
      <c r="B28" s="80"/>
      <c r="C28" s="86"/>
      <c r="D28" s="87"/>
      <c r="E28" s="88"/>
      <c r="F28" s="89"/>
      <c r="G28" s="126"/>
      <c r="H28" s="89"/>
      <c r="I28" s="89"/>
      <c r="J28" s="89"/>
      <c r="K28" s="82"/>
      <c r="L28" s="90"/>
      <c r="M28" s="90"/>
      <c r="N28" s="111"/>
      <c r="O28" s="110"/>
      <c r="P28" s="109"/>
    </row>
    <row r="29" spans="1:19" s="63" customFormat="1" ht="18.75" customHeight="1">
      <c r="A29" s="79"/>
      <c r="B29" s="80"/>
      <c r="C29" s="86"/>
      <c r="D29" s="87"/>
      <c r="E29" s="88"/>
      <c r="F29" s="89"/>
      <c r="G29" s="89"/>
      <c r="H29" s="89"/>
      <c r="I29" s="89"/>
      <c r="J29" s="89"/>
      <c r="K29" s="82"/>
      <c r="L29" s="90"/>
      <c r="M29" s="90"/>
      <c r="N29" s="111"/>
      <c r="O29" s="110"/>
      <c r="P29" s="109"/>
    </row>
    <row r="30" spans="1:19" s="63" customFormat="1" ht="18.75" customHeight="1">
      <c r="A30" s="79"/>
      <c r="B30" s="80"/>
      <c r="C30" s="86"/>
      <c r="D30" s="87"/>
      <c r="E30" s="88"/>
      <c r="F30" s="89"/>
      <c r="G30" s="89"/>
      <c r="H30" s="89"/>
      <c r="I30" s="89"/>
      <c r="J30" s="89"/>
      <c r="K30" s="82"/>
      <c r="L30" s="90"/>
      <c r="M30" s="90"/>
      <c r="N30" s="111"/>
      <c r="O30" s="110"/>
      <c r="P30" s="109"/>
    </row>
    <row r="31" spans="1:19" s="63" customFormat="1" ht="18.75" customHeight="1">
      <c r="A31" s="79"/>
      <c r="B31" s="80"/>
      <c r="C31" s="86"/>
      <c r="D31" s="87"/>
      <c r="E31" s="88"/>
      <c r="F31" s="89"/>
      <c r="G31" s="89"/>
      <c r="H31" s="89"/>
      <c r="I31" s="89"/>
      <c r="J31" s="89"/>
      <c r="K31" s="82"/>
      <c r="L31" s="90"/>
      <c r="M31" s="90"/>
      <c r="N31" s="111"/>
      <c r="O31" s="110"/>
      <c r="P31" s="109"/>
    </row>
    <row r="32" spans="1:19" s="63" customFormat="1" ht="18.75" customHeight="1">
      <c r="A32" s="79"/>
      <c r="B32" s="80"/>
      <c r="C32" s="86"/>
      <c r="D32" s="87"/>
      <c r="E32" s="88"/>
      <c r="F32" s="89"/>
      <c r="G32" s="89"/>
      <c r="H32" s="89"/>
      <c r="I32" s="89"/>
      <c r="J32" s="89"/>
      <c r="K32" s="82"/>
      <c r="L32" s="90"/>
      <c r="M32" s="90"/>
      <c r="N32" s="111"/>
      <c r="O32" s="110"/>
      <c r="P32" s="109"/>
    </row>
    <row r="33" spans="1:16" s="63" customFormat="1" ht="18.75" customHeight="1">
      <c r="A33" s="79"/>
      <c r="B33" s="80"/>
      <c r="C33" s="86"/>
      <c r="D33" s="87"/>
      <c r="E33" s="88"/>
      <c r="F33" s="89"/>
      <c r="G33" s="89"/>
      <c r="H33" s="89"/>
      <c r="I33" s="89"/>
      <c r="J33" s="89"/>
      <c r="K33" s="82"/>
      <c r="L33" s="90"/>
      <c r="M33" s="90"/>
      <c r="N33" s="111"/>
      <c r="O33" s="110"/>
      <c r="P33" s="109"/>
    </row>
    <row r="34" spans="1:16" s="63" customFormat="1" ht="18.75" customHeight="1">
      <c r="A34" s="79"/>
      <c r="B34" s="80"/>
      <c r="C34" s="86"/>
      <c r="D34" s="87"/>
      <c r="E34" s="88"/>
      <c r="F34" s="89"/>
      <c r="G34" s="89"/>
      <c r="H34" s="89"/>
      <c r="I34" s="89"/>
      <c r="J34" s="89"/>
      <c r="K34" s="82"/>
      <c r="L34" s="90"/>
      <c r="M34" s="90"/>
      <c r="N34" s="111"/>
      <c r="O34" s="110"/>
      <c r="P34" s="109"/>
    </row>
    <row r="35" spans="1:16" s="63" customFormat="1" ht="18.75" customHeight="1">
      <c r="A35" s="79"/>
      <c r="B35" s="80"/>
      <c r="C35" s="86"/>
      <c r="D35" s="87"/>
      <c r="E35" s="88"/>
      <c r="F35" s="89"/>
      <c r="G35" s="89"/>
      <c r="H35" s="89"/>
      <c r="I35" s="89"/>
      <c r="J35" s="89"/>
      <c r="K35" s="82"/>
      <c r="L35" s="90"/>
      <c r="M35" s="90"/>
      <c r="N35" s="111"/>
      <c r="O35" s="110"/>
      <c r="P35" s="109"/>
    </row>
    <row r="36" spans="1:16" s="63" customFormat="1" ht="18.75" customHeight="1">
      <c r="A36" s="79"/>
      <c r="B36" s="80"/>
      <c r="C36" s="86"/>
      <c r="D36" s="87"/>
      <c r="E36" s="88"/>
      <c r="F36" s="89"/>
      <c r="G36" s="89"/>
      <c r="H36" s="89"/>
      <c r="I36" s="89"/>
      <c r="J36" s="89"/>
      <c r="K36" s="82"/>
      <c r="L36" s="90"/>
      <c r="M36" s="90"/>
      <c r="N36" s="111"/>
      <c r="O36" s="110"/>
      <c r="P36" s="109"/>
    </row>
    <row r="37" spans="1:16" s="63" customFormat="1" ht="18.75" customHeight="1">
      <c r="A37" s="79"/>
      <c r="B37" s="80"/>
      <c r="C37" s="86"/>
      <c r="D37" s="87"/>
      <c r="E37" s="88"/>
      <c r="F37" s="89"/>
      <c r="G37" s="89"/>
      <c r="H37" s="89"/>
      <c r="I37" s="89"/>
      <c r="J37" s="89"/>
      <c r="K37" s="82"/>
      <c r="L37" s="90"/>
      <c r="M37" s="90"/>
      <c r="N37" s="111"/>
      <c r="O37" s="110"/>
      <c r="P37" s="109"/>
    </row>
    <row r="38" spans="1:16" s="63" customFormat="1" ht="18.75" customHeight="1">
      <c r="A38" s="79"/>
      <c r="B38" s="80"/>
      <c r="C38" s="86"/>
      <c r="D38" s="87"/>
      <c r="E38" s="88"/>
      <c r="F38" s="89"/>
      <c r="G38" s="89"/>
      <c r="H38" s="89"/>
      <c r="I38" s="89"/>
      <c r="J38" s="89"/>
      <c r="K38" s="82"/>
      <c r="L38" s="90"/>
      <c r="M38" s="90"/>
      <c r="N38" s="111"/>
      <c r="O38" s="110"/>
      <c r="P38" s="109"/>
    </row>
    <row r="39" spans="1:16" s="63" customFormat="1" ht="18.75" customHeight="1">
      <c r="A39" s="79"/>
      <c r="B39" s="80"/>
      <c r="C39" s="86"/>
      <c r="D39" s="87"/>
      <c r="E39" s="88"/>
      <c r="F39" s="89"/>
      <c r="G39" s="89"/>
      <c r="H39" s="89"/>
      <c r="I39" s="89"/>
      <c r="J39" s="89"/>
      <c r="K39" s="82"/>
      <c r="L39" s="90"/>
      <c r="M39" s="90"/>
      <c r="N39" s="111"/>
      <c r="O39" s="110"/>
      <c r="P39" s="109"/>
    </row>
    <row r="40" spans="1:16" s="63" customFormat="1" ht="18.75" customHeight="1">
      <c r="A40" s="79"/>
      <c r="B40" s="80"/>
      <c r="C40" s="86"/>
      <c r="D40" s="87"/>
      <c r="E40" s="88"/>
      <c r="F40" s="89"/>
      <c r="G40" s="89"/>
      <c r="H40" s="89"/>
      <c r="I40" s="89"/>
      <c r="J40" s="89"/>
      <c r="K40" s="82"/>
      <c r="L40" s="90"/>
      <c r="M40" s="90"/>
      <c r="N40" s="111"/>
      <c r="O40" s="110"/>
      <c r="P40" s="109"/>
    </row>
    <row r="41" spans="1:16" s="63" customFormat="1" ht="18.75" customHeight="1">
      <c r="A41" s="79"/>
      <c r="B41" s="80"/>
      <c r="C41" s="86"/>
      <c r="D41" s="87"/>
      <c r="E41" s="88"/>
      <c r="F41" s="89"/>
      <c r="G41" s="89"/>
      <c r="H41" s="89"/>
      <c r="I41" s="89"/>
      <c r="J41" s="89"/>
      <c r="K41" s="82"/>
      <c r="L41" s="90"/>
      <c r="M41" s="90"/>
      <c r="N41" s="111"/>
      <c r="O41" s="110"/>
      <c r="P41" s="109"/>
    </row>
    <row r="42" spans="1:16" s="63" customFormat="1" ht="18.75" customHeight="1">
      <c r="A42" s="79"/>
      <c r="B42" s="80"/>
      <c r="C42" s="86"/>
      <c r="D42" s="87"/>
      <c r="E42" s="88"/>
      <c r="F42" s="89"/>
      <c r="G42" s="89"/>
      <c r="H42" s="89"/>
      <c r="I42" s="89"/>
      <c r="J42" s="89"/>
      <c r="K42" s="82"/>
      <c r="L42" s="90"/>
      <c r="M42" s="90"/>
      <c r="N42" s="111"/>
      <c r="O42" s="110"/>
      <c r="P42" s="109"/>
    </row>
    <row r="43" spans="1:16" s="63" customFormat="1" ht="18.75" customHeight="1">
      <c r="A43" s="79"/>
      <c r="B43" s="80"/>
      <c r="C43" s="86"/>
      <c r="D43" s="87"/>
      <c r="E43" s="88"/>
      <c r="F43" s="89"/>
      <c r="G43" s="89"/>
      <c r="H43" s="89"/>
      <c r="I43" s="89"/>
      <c r="J43" s="89"/>
      <c r="K43" s="82"/>
      <c r="L43" s="90"/>
      <c r="M43" s="90"/>
      <c r="N43" s="111"/>
      <c r="O43" s="110"/>
      <c r="P43" s="109"/>
    </row>
    <row r="44" spans="1:16" s="63" customFormat="1" ht="18.75" customHeight="1">
      <c r="A44" s="79"/>
      <c r="B44" s="80"/>
      <c r="C44" s="86"/>
      <c r="D44" s="87"/>
      <c r="E44" s="88"/>
      <c r="F44" s="89"/>
      <c r="G44" s="89"/>
      <c r="H44" s="89"/>
      <c r="I44" s="89"/>
      <c r="J44" s="89"/>
      <c r="K44" s="82"/>
      <c r="L44" s="90"/>
      <c r="M44" s="90"/>
      <c r="N44" s="111"/>
      <c r="O44" s="110"/>
      <c r="P44" s="109"/>
    </row>
    <row r="45" spans="1:16" s="63" customFormat="1" ht="18.75" customHeight="1">
      <c r="A45" s="79"/>
      <c r="B45" s="80"/>
      <c r="C45" s="86"/>
      <c r="D45" s="87"/>
      <c r="E45" s="88"/>
      <c r="F45" s="89"/>
      <c r="G45" s="89"/>
      <c r="H45" s="89"/>
      <c r="I45" s="89"/>
      <c r="J45" s="89"/>
      <c r="K45" s="82"/>
      <c r="L45" s="90"/>
      <c r="M45" s="90"/>
      <c r="N45" s="111"/>
      <c r="O45" s="110"/>
      <c r="P45" s="109"/>
    </row>
    <row r="46" spans="1:16" s="63" customFormat="1" ht="18" customHeight="1">
      <c r="A46" s="79"/>
      <c r="B46" s="80"/>
      <c r="C46" s="86"/>
      <c r="D46" s="87"/>
      <c r="E46" s="88"/>
      <c r="F46" s="89"/>
      <c r="G46" s="89"/>
      <c r="H46" s="89"/>
      <c r="I46" s="89"/>
      <c r="J46" s="89"/>
      <c r="K46" s="82"/>
      <c r="L46" s="90"/>
      <c r="M46" s="90"/>
      <c r="N46" s="111"/>
      <c r="O46" s="110"/>
      <c r="P46" s="109"/>
    </row>
    <row r="47" spans="1:16" s="63" customFormat="1" ht="18" customHeight="1">
      <c r="A47" s="79"/>
      <c r="B47" s="80"/>
      <c r="C47" s="86"/>
      <c r="D47" s="87"/>
      <c r="E47" s="88"/>
      <c r="F47" s="89"/>
      <c r="G47" s="89"/>
      <c r="H47" s="89"/>
      <c r="I47" s="89"/>
      <c r="J47" s="89"/>
      <c r="K47" s="82"/>
      <c r="L47" s="90"/>
      <c r="M47" s="90"/>
      <c r="N47" s="111"/>
      <c r="O47" s="110"/>
      <c r="P47" s="109"/>
    </row>
    <row r="48" spans="1:16" s="63" customFormat="1" ht="18" customHeight="1">
      <c r="A48" s="79"/>
      <c r="B48" s="80"/>
      <c r="C48" s="86"/>
      <c r="D48" s="87"/>
      <c r="E48" s="88"/>
      <c r="F48" s="89"/>
      <c r="G48" s="89"/>
      <c r="H48" s="89"/>
      <c r="I48" s="89"/>
      <c r="J48" s="89"/>
      <c r="K48" s="82"/>
      <c r="L48" s="91"/>
      <c r="M48" s="92"/>
      <c r="N48" s="111"/>
      <c r="O48" s="110"/>
      <c r="P48" s="109"/>
    </row>
    <row r="49" spans="1:122" s="63" customFormat="1" ht="18" customHeight="1">
      <c r="A49" s="79"/>
      <c r="B49" s="80"/>
      <c r="C49" s="179" t="s">
        <v>60</v>
      </c>
      <c r="D49" s="180"/>
      <c r="E49" s="93">
        <f>SUM(E17:E48)</f>
        <v>0</v>
      </c>
      <c r="F49" s="94">
        <f>SUM(F17:F48)</f>
        <v>0</v>
      </c>
      <c r="G49" s="94">
        <f>SUM(G17:G48)</f>
        <v>0</v>
      </c>
      <c r="H49" s="94">
        <f>SUM(H17:H48)</f>
        <v>0</v>
      </c>
      <c r="I49" s="94">
        <f>SUM(I17:I48)</f>
        <v>0</v>
      </c>
      <c r="J49" s="94">
        <f>SUM(J17:J48)</f>
        <v>0</v>
      </c>
      <c r="K49" s="82"/>
      <c r="L49" s="95"/>
      <c r="M49" s="95"/>
      <c r="N49" s="111"/>
      <c r="O49" s="110"/>
      <c r="P49" s="109"/>
    </row>
    <row r="50" spans="1:122" s="63" customFormat="1" ht="18" customHeight="1">
      <c r="A50" s="79"/>
      <c r="B50" s="80"/>
      <c r="C50" s="96"/>
      <c r="D50" s="96"/>
      <c r="E50" s="97"/>
      <c r="F50" s="97"/>
      <c r="G50" s="97"/>
      <c r="H50" s="97"/>
      <c r="K50" s="82"/>
      <c r="L50" s="168"/>
      <c r="M50" s="168"/>
      <c r="N50" s="111"/>
      <c r="O50" s="110"/>
      <c r="P50" s="109"/>
    </row>
    <row r="51" spans="1:122" s="63" customFormat="1" ht="6" customHeight="1">
      <c r="A51" s="79"/>
      <c r="B51" s="98"/>
      <c r="C51" s="99"/>
      <c r="D51" s="99"/>
      <c r="E51" s="100"/>
      <c r="F51" s="100"/>
      <c r="G51" s="100"/>
      <c r="H51" s="100"/>
      <c r="I51" s="100"/>
      <c r="J51" s="100"/>
      <c r="K51" s="101"/>
      <c r="L51" s="102"/>
      <c r="O51" s="110"/>
      <c r="P51" s="109"/>
    </row>
    <row r="52" spans="1:122" s="63" customFormat="1" ht="16.5" customHeight="1">
      <c r="A52" s="79"/>
      <c r="B52" s="103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10"/>
      <c r="P52" s="109"/>
    </row>
    <row r="53" spans="1:122" s="63" customFormat="1" ht="18" customHeight="1">
      <c r="A53" s="79"/>
      <c r="B53" s="103"/>
      <c r="C53" s="104"/>
      <c r="D53" s="104"/>
      <c r="E53" s="104"/>
      <c r="F53" s="104"/>
      <c r="G53" s="104"/>
      <c r="H53" s="104"/>
      <c r="J53" s="104"/>
      <c r="K53" s="104"/>
      <c r="L53" s="104"/>
      <c r="N53" s="104"/>
      <c r="O53" s="110"/>
      <c r="P53" s="109"/>
    </row>
    <row r="54" spans="1:122" s="63" customFormat="1" ht="12" customHeight="1">
      <c r="A54" s="79"/>
      <c r="B54" s="103"/>
      <c r="C54" s="103"/>
      <c r="D54" s="103"/>
      <c r="E54" s="103"/>
      <c r="F54" s="103"/>
      <c r="G54" s="103"/>
      <c r="H54" s="103"/>
      <c r="I54" s="103"/>
      <c r="J54" s="105"/>
      <c r="K54" s="103"/>
      <c r="L54" s="103"/>
      <c r="M54" s="103"/>
      <c r="N54" s="103"/>
      <c r="O54" s="110"/>
      <c r="P54" s="109"/>
    </row>
    <row r="55" spans="1:122" s="63" customFormat="1" ht="17.25" customHeight="1">
      <c r="A55" s="79"/>
      <c r="B55" s="107"/>
      <c r="C55" s="107"/>
      <c r="D55" s="107"/>
      <c r="E55" s="107"/>
      <c r="F55" s="107"/>
      <c r="G55" s="107"/>
      <c r="H55" s="107"/>
      <c r="I55" s="107"/>
      <c r="J55" s="106" t="s">
        <v>13</v>
      </c>
      <c r="K55" s="107"/>
      <c r="L55" s="107"/>
      <c r="M55" s="107"/>
      <c r="N55" s="107"/>
      <c r="O55" s="110"/>
      <c r="P55" s="109"/>
    </row>
    <row r="56" spans="1:122" ht="14.25" customHeight="1">
      <c r="A56" s="78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</row>
    <row r="57" spans="1:122" ht="9.75" hidden="1" customHeight="1">
      <c r="A57" s="78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3"/>
      <c r="AL57" s="103"/>
      <c r="AM57" s="103"/>
      <c r="AN57" s="103"/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  <c r="CJ57" s="103"/>
      <c r="CK57" s="103"/>
      <c r="CL57" s="103"/>
      <c r="CM57" s="103"/>
      <c r="CN57" s="103"/>
      <c r="CO57" s="103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103"/>
      <c r="DM57" s="103"/>
      <c r="DN57" s="103"/>
      <c r="DO57" s="103"/>
      <c r="DP57" s="103"/>
      <c r="DQ57" s="103"/>
      <c r="DR57" s="103"/>
    </row>
    <row r="58" spans="1:122">
      <c r="A58" s="7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</row>
  </sheetData>
  <mergeCells count="18">
    <mergeCell ref="D4:K4"/>
    <mergeCell ref="C9:D9"/>
    <mergeCell ref="C6:D6"/>
    <mergeCell ref="B4:C4"/>
    <mergeCell ref="C7:D7"/>
    <mergeCell ref="C8:D8"/>
    <mergeCell ref="E6:J6"/>
    <mergeCell ref="E7:J7"/>
    <mergeCell ref="E8:J8"/>
    <mergeCell ref="E9:J9"/>
    <mergeCell ref="L50:M50"/>
    <mergeCell ref="C15:D15"/>
    <mergeCell ref="L15:M15"/>
    <mergeCell ref="B13:C13"/>
    <mergeCell ref="D13:K13"/>
    <mergeCell ref="C14:K14"/>
    <mergeCell ref="E15:J15"/>
    <mergeCell ref="C49:D49"/>
  </mergeCells>
  <conditionalFormatting sqref="D17:D48">
    <cfRule type="expression" dxfId="1" priority="1" stopIfTrue="1">
      <formula>WEEKDAY($C17,2)=7</formula>
    </cfRule>
    <cfRule type="expression" dxfId="0" priority="2" stopIfTrue="1">
      <formula>OR($C17=feriado1,$C17=feriado2,$C17=feriado3,$C17=feriado4,$C17=feriado5)</formula>
    </cfRule>
  </conditionalFormatting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/>
  </sheetPr>
  <dimension ref="A1:DR58"/>
  <sheetViews>
    <sheetView showGridLines="0" view="pageBreakPreview" topLeftCell="A28" zoomScale="80" zoomScaleNormal="70" zoomScaleSheetLayoutView="80" workbookViewId="0">
      <selection activeCell="G50" sqref="G50"/>
    </sheetView>
  </sheetViews>
  <sheetFormatPr baseColWidth="10" defaultRowHeight="15"/>
  <cols>
    <col min="1" max="2" width="1" style="107" customWidth="1"/>
    <col min="3" max="3" width="9.85546875" style="107" customWidth="1"/>
    <col min="4" max="4" width="11.85546875" style="107" customWidth="1"/>
    <col min="5" max="5" width="8.7109375" style="107" customWidth="1"/>
    <col min="6" max="6" width="17.5703125" style="107" customWidth="1"/>
    <col min="7" max="7" width="16.7109375" style="107" customWidth="1"/>
    <col min="8" max="8" width="11.140625" style="107" customWidth="1"/>
    <col min="9" max="9" width="10.85546875" style="107" customWidth="1"/>
    <col min="10" max="10" width="20.140625" style="107" customWidth="1"/>
    <col min="11" max="11" width="2.85546875" style="107" customWidth="1"/>
    <col min="12" max="12" width="7" style="107" customWidth="1"/>
    <col min="13" max="13" width="6" style="107" customWidth="1"/>
    <col min="14" max="14" width="1.28515625" style="107" customWidth="1"/>
    <col min="15" max="15" width="2.85546875" style="107" customWidth="1"/>
    <col min="16" max="16" width="5" style="107" customWidth="1"/>
    <col min="17" max="16384" width="11.42578125" style="107"/>
  </cols>
  <sheetData>
    <row r="1" spans="1:17" ht="15" customHeight="1">
      <c r="B1" s="62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108"/>
      <c r="O1" s="108"/>
      <c r="P1" s="108"/>
    </row>
    <row r="2" spans="1:17" ht="15" customHeight="1">
      <c r="B2" s="62"/>
      <c r="C2" s="63"/>
      <c r="D2" s="63"/>
      <c r="F2" s="114" t="s">
        <v>73</v>
      </c>
      <c r="G2" s="63"/>
      <c r="H2" s="63"/>
      <c r="I2" s="63"/>
      <c r="J2" s="63"/>
      <c r="K2" s="63"/>
      <c r="L2" s="63"/>
      <c r="M2" s="64"/>
      <c r="N2" s="108"/>
      <c r="O2" s="108"/>
      <c r="P2" s="108"/>
    </row>
    <row r="3" spans="1:17" ht="15" customHeight="1">
      <c r="B3" s="62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108"/>
      <c r="O3" s="108"/>
      <c r="P3" s="108"/>
    </row>
    <row r="4" spans="1:17" ht="16.5" customHeight="1">
      <c r="B4" s="182" t="s">
        <v>50</v>
      </c>
      <c r="C4" s="181"/>
      <c r="D4" s="181" t="s">
        <v>51</v>
      </c>
      <c r="E4" s="181"/>
      <c r="F4" s="181"/>
      <c r="G4" s="181"/>
      <c r="H4" s="181"/>
      <c r="I4" s="181"/>
      <c r="J4" s="181"/>
      <c r="K4" s="181"/>
      <c r="L4"/>
      <c r="M4" s="65"/>
      <c r="N4" s="65"/>
      <c r="O4" s="108"/>
      <c r="P4" s="110"/>
      <c r="Q4" s="113"/>
    </row>
    <row r="5" spans="1:17" ht="18.75" customHeight="1">
      <c r="B5" s="66"/>
      <c r="C5" s="31" t="s">
        <v>72</v>
      </c>
      <c r="D5" s="12"/>
      <c r="E5" s="12"/>
      <c r="F5" s="12"/>
      <c r="G5" s="12"/>
      <c r="H5" s="31"/>
      <c r="I5" s="12"/>
      <c r="J5" s="12"/>
      <c r="K5" s="122"/>
      <c r="L5" s="12"/>
      <c r="N5" s="67"/>
      <c r="O5" s="108"/>
      <c r="P5" s="110"/>
      <c r="Q5" s="113"/>
    </row>
    <row r="6" spans="1:17" ht="19.5" customHeight="1">
      <c r="B6" s="66"/>
      <c r="C6" s="141" t="s">
        <v>0</v>
      </c>
      <c r="D6" s="141"/>
      <c r="E6" s="183"/>
      <c r="F6" s="184"/>
      <c r="G6" s="184"/>
      <c r="H6" s="184"/>
      <c r="I6" s="184"/>
      <c r="J6" s="185"/>
      <c r="K6" s="123"/>
      <c r="L6"/>
      <c r="N6" s="67"/>
      <c r="O6" s="108"/>
      <c r="P6" s="110"/>
      <c r="Q6" s="113"/>
    </row>
    <row r="7" spans="1:17" ht="21.75" customHeight="1">
      <c r="B7" s="66"/>
      <c r="C7" s="141" t="s">
        <v>1</v>
      </c>
      <c r="D7" s="141"/>
      <c r="E7" s="183"/>
      <c r="F7" s="184"/>
      <c r="G7" s="184"/>
      <c r="H7" s="184"/>
      <c r="I7" s="184"/>
      <c r="J7" s="185"/>
      <c r="K7"/>
      <c r="L7" s="124"/>
      <c r="M7" s="68"/>
      <c r="N7" s="67"/>
      <c r="O7" s="108"/>
      <c r="P7" s="110"/>
      <c r="Q7" s="113"/>
    </row>
    <row r="8" spans="1:17" ht="21" customHeight="1">
      <c r="B8" s="66"/>
      <c r="C8" s="141" t="s">
        <v>2</v>
      </c>
      <c r="D8" s="141"/>
      <c r="E8" s="183"/>
      <c r="F8" s="184"/>
      <c r="G8" s="184"/>
      <c r="H8" s="184"/>
      <c r="I8" s="184"/>
      <c r="J8" s="185"/>
      <c r="K8"/>
      <c r="L8" s="124"/>
      <c r="M8" s="68"/>
      <c r="N8" s="67"/>
      <c r="O8" s="108"/>
      <c r="P8" s="110"/>
    </row>
    <row r="9" spans="1:17" ht="18.75" customHeight="1">
      <c r="B9" s="66"/>
      <c r="C9" s="141" t="s">
        <v>3</v>
      </c>
      <c r="D9" s="141"/>
      <c r="E9" s="183"/>
      <c r="F9" s="184"/>
      <c r="G9" s="184"/>
      <c r="H9" s="184"/>
      <c r="I9" s="184"/>
      <c r="J9" s="185"/>
      <c r="K9"/>
      <c r="L9" s="124"/>
      <c r="M9" s="69"/>
      <c r="N9" s="67"/>
      <c r="O9" s="108"/>
      <c r="P9" s="110"/>
    </row>
    <row r="10" spans="1:17" ht="14.25" customHeight="1">
      <c r="B10" s="70"/>
      <c r="C10" s="119"/>
      <c r="D10" s="120"/>
      <c r="E10" s="121"/>
      <c r="F10" s="121"/>
      <c r="G10" s="121"/>
      <c r="H10" s="121"/>
      <c r="I10" s="121"/>
      <c r="J10" s="121"/>
      <c r="K10" s="125"/>
      <c r="L10" s="124"/>
      <c r="M10" s="71"/>
      <c r="N10" s="112"/>
      <c r="O10" s="108"/>
      <c r="P10" s="110"/>
    </row>
    <row r="11" spans="1:17" ht="12.75" customHeight="1">
      <c r="A11" s="72"/>
      <c r="B11" s="73"/>
      <c r="C11" s="71"/>
      <c r="D11" s="71"/>
      <c r="E11" s="71"/>
      <c r="F11" s="71"/>
      <c r="G11" s="71"/>
      <c r="H11" s="71"/>
      <c r="I11" s="71"/>
      <c r="J11" s="71"/>
      <c r="K11" s="75"/>
      <c r="L11" s="74"/>
      <c r="M11" s="76"/>
      <c r="N11" s="111"/>
      <c r="O11" s="108"/>
      <c r="P11" s="110"/>
    </row>
    <row r="12" spans="1:17" ht="6" customHeight="1">
      <c r="A12" s="72"/>
      <c r="B12" s="73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111"/>
      <c r="O12" s="110"/>
      <c r="P12" s="110"/>
    </row>
    <row r="13" spans="1:17" ht="16.5" customHeight="1">
      <c r="A13" s="78"/>
      <c r="B13" s="172" t="s">
        <v>52</v>
      </c>
      <c r="C13" s="173"/>
      <c r="D13" s="173" t="s">
        <v>68</v>
      </c>
      <c r="E13" s="173"/>
      <c r="F13" s="173"/>
      <c r="G13" s="173"/>
      <c r="H13" s="173"/>
      <c r="I13" s="173"/>
      <c r="J13" s="173"/>
      <c r="K13" s="174"/>
      <c r="L13" s="65"/>
      <c r="M13" s="65"/>
      <c r="N13" s="111"/>
      <c r="O13" s="110"/>
      <c r="P13" s="110"/>
    </row>
    <row r="14" spans="1:17" s="63" customFormat="1" ht="14.25" customHeight="1">
      <c r="A14" s="79"/>
      <c r="B14" s="80"/>
      <c r="C14" s="175"/>
      <c r="D14" s="175"/>
      <c r="E14" s="175"/>
      <c r="F14" s="175"/>
      <c r="G14" s="175"/>
      <c r="H14" s="175"/>
      <c r="I14" s="175"/>
      <c r="J14" s="175"/>
      <c r="K14" s="176"/>
      <c r="L14" s="81"/>
      <c r="M14" s="81"/>
      <c r="N14" s="111"/>
      <c r="O14" s="110"/>
      <c r="P14" s="109"/>
    </row>
    <row r="15" spans="1:17" s="63" customFormat="1" ht="15" customHeight="1">
      <c r="A15" s="79"/>
      <c r="B15" s="80"/>
      <c r="C15" s="169" t="s">
        <v>54</v>
      </c>
      <c r="D15" s="209"/>
      <c r="E15" s="209"/>
      <c r="F15" s="170"/>
      <c r="G15" s="169" t="s">
        <v>71</v>
      </c>
      <c r="H15" s="209"/>
      <c r="I15" s="209"/>
      <c r="J15" s="170"/>
      <c r="K15" s="82"/>
      <c r="L15" s="171"/>
      <c r="M15" s="171"/>
      <c r="N15" s="111"/>
      <c r="O15" s="110"/>
      <c r="P15" s="109"/>
    </row>
    <row r="16" spans="1:17" s="63" customFormat="1" ht="42.75" customHeight="1">
      <c r="A16" s="79"/>
      <c r="B16" s="80"/>
      <c r="C16" s="196" t="s">
        <v>69</v>
      </c>
      <c r="D16" s="197"/>
      <c r="E16" s="198" t="s">
        <v>3</v>
      </c>
      <c r="F16" s="199"/>
      <c r="G16" s="200" t="s">
        <v>70</v>
      </c>
      <c r="H16" s="201"/>
      <c r="I16" s="201"/>
      <c r="J16" s="202"/>
      <c r="K16" s="82"/>
      <c r="L16" s="85"/>
      <c r="M16" s="85"/>
      <c r="N16" s="111"/>
      <c r="O16" s="110"/>
      <c r="P16" s="109"/>
    </row>
    <row r="17" spans="1:19" s="63" customFormat="1" ht="18.75" customHeight="1">
      <c r="A17" s="79"/>
      <c r="B17" s="80"/>
      <c r="C17" s="192"/>
      <c r="D17" s="193"/>
      <c r="E17" s="129"/>
      <c r="F17" s="130"/>
      <c r="G17" s="203"/>
      <c r="H17" s="204"/>
      <c r="I17" s="204"/>
      <c r="J17" s="205"/>
      <c r="K17" s="127"/>
      <c r="L17" s="90"/>
      <c r="M17" s="90"/>
      <c r="N17" s="111"/>
      <c r="O17" s="110"/>
      <c r="P17" s="109"/>
    </row>
    <row r="18" spans="1:19" s="63" customFormat="1" ht="18.75" customHeight="1">
      <c r="A18" s="79"/>
      <c r="B18" s="80"/>
      <c r="C18" s="192"/>
      <c r="D18" s="193"/>
      <c r="E18" s="186"/>
      <c r="F18" s="187"/>
      <c r="G18" s="186"/>
      <c r="H18" s="187"/>
      <c r="I18" s="187"/>
      <c r="J18" s="188"/>
      <c r="K18" s="127"/>
      <c r="L18" s="90"/>
      <c r="M18" s="90"/>
      <c r="N18" s="111"/>
      <c r="O18" s="110"/>
      <c r="P18" s="109"/>
      <c r="S18" s="115"/>
    </row>
    <row r="19" spans="1:19" s="63" customFormat="1" ht="18.75" customHeight="1">
      <c r="A19" s="79"/>
      <c r="B19" s="80"/>
      <c r="C19" s="192"/>
      <c r="D19" s="193"/>
      <c r="E19" s="186"/>
      <c r="F19" s="187"/>
      <c r="G19" s="186"/>
      <c r="H19" s="187"/>
      <c r="I19" s="187"/>
      <c r="J19" s="188"/>
      <c r="K19" s="127"/>
      <c r="L19" s="90"/>
      <c r="M19" s="90"/>
      <c r="N19" s="111"/>
      <c r="O19" s="110"/>
      <c r="P19" s="109"/>
    </row>
    <row r="20" spans="1:19" s="63" customFormat="1" ht="18.75" customHeight="1">
      <c r="A20" s="79"/>
      <c r="B20" s="80"/>
      <c r="C20" s="192"/>
      <c r="D20" s="193"/>
      <c r="E20" s="186"/>
      <c r="F20" s="187"/>
      <c r="G20" s="186"/>
      <c r="H20" s="187"/>
      <c r="I20" s="187"/>
      <c r="J20" s="188"/>
      <c r="K20" s="127"/>
      <c r="L20" s="90"/>
      <c r="M20" s="90"/>
      <c r="N20" s="111"/>
      <c r="O20" s="110"/>
      <c r="P20" s="109"/>
    </row>
    <row r="21" spans="1:19" s="63" customFormat="1" ht="18.75" customHeight="1">
      <c r="A21" s="79"/>
      <c r="B21" s="80"/>
      <c r="C21" s="192"/>
      <c r="D21" s="193"/>
      <c r="E21" s="186"/>
      <c r="F21" s="187"/>
      <c r="G21" s="186"/>
      <c r="H21" s="187"/>
      <c r="I21" s="187"/>
      <c r="J21" s="188"/>
      <c r="K21" s="127"/>
      <c r="L21" s="90"/>
      <c r="M21" s="90"/>
      <c r="N21" s="111"/>
      <c r="O21" s="110"/>
      <c r="P21" s="109"/>
    </row>
    <row r="22" spans="1:19" s="63" customFormat="1" ht="18.75" customHeight="1">
      <c r="A22" s="79"/>
      <c r="B22" s="80"/>
      <c r="C22" s="192"/>
      <c r="D22" s="193"/>
      <c r="E22" s="186"/>
      <c r="F22" s="187"/>
      <c r="G22" s="186"/>
      <c r="H22" s="187"/>
      <c r="I22" s="187"/>
      <c r="J22" s="188"/>
      <c r="K22" s="127"/>
      <c r="L22" s="90"/>
      <c r="M22" s="90"/>
      <c r="N22" s="111"/>
      <c r="O22" s="110"/>
      <c r="P22" s="109"/>
    </row>
    <row r="23" spans="1:19" s="63" customFormat="1" ht="18.75" customHeight="1">
      <c r="A23" s="79"/>
      <c r="B23" s="80"/>
      <c r="C23" s="192"/>
      <c r="D23" s="193"/>
      <c r="E23" s="186"/>
      <c r="F23" s="187"/>
      <c r="G23" s="186"/>
      <c r="H23" s="187"/>
      <c r="I23" s="187"/>
      <c r="J23" s="188"/>
      <c r="K23" s="127"/>
      <c r="L23" s="90"/>
      <c r="M23" s="90"/>
      <c r="N23" s="111"/>
      <c r="O23" s="110"/>
      <c r="P23" s="109"/>
    </row>
    <row r="24" spans="1:19" s="63" customFormat="1" ht="18.75" customHeight="1">
      <c r="A24" s="79"/>
      <c r="B24" s="80"/>
      <c r="C24" s="192"/>
      <c r="D24" s="193"/>
      <c r="E24" s="186"/>
      <c r="F24" s="187"/>
      <c r="G24" s="186"/>
      <c r="H24" s="187"/>
      <c r="I24" s="187"/>
      <c r="J24" s="188"/>
      <c r="K24" s="127"/>
      <c r="L24" s="90"/>
      <c r="M24" s="90"/>
      <c r="N24" s="111"/>
      <c r="O24" s="110"/>
      <c r="P24" s="109"/>
    </row>
    <row r="25" spans="1:19" s="63" customFormat="1" ht="18.75" customHeight="1">
      <c r="A25" s="79"/>
      <c r="B25" s="80"/>
      <c r="C25" s="192"/>
      <c r="D25" s="193"/>
      <c r="E25" s="186"/>
      <c r="F25" s="187"/>
      <c r="G25" s="186"/>
      <c r="H25" s="187"/>
      <c r="I25" s="187"/>
      <c r="J25" s="188"/>
      <c r="K25" s="127"/>
      <c r="L25" s="90"/>
      <c r="M25" s="90"/>
      <c r="N25" s="111"/>
      <c r="O25" s="110"/>
      <c r="P25" s="109"/>
    </row>
    <row r="26" spans="1:19" s="63" customFormat="1" ht="18.75" customHeight="1">
      <c r="A26" s="79"/>
      <c r="B26" s="80"/>
      <c r="C26" s="192"/>
      <c r="D26" s="193"/>
      <c r="E26" s="186"/>
      <c r="F26" s="187"/>
      <c r="G26" s="186"/>
      <c r="H26" s="187"/>
      <c r="I26" s="187"/>
      <c r="J26" s="188"/>
      <c r="K26" s="127"/>
      <c r="L26" s="90"/>
      <c r="M26" s="90"/>
      <c r="N26" s="111"/>
      <c r="O26" s="110"/>
      <c r="P26" s="109"/>
    </row>
    <row r="27" spans="1:19" s="63" customFormat="1" ht="18.75" customHeight="1">
      <c r="A27" s="79"/>
      <c r="B27" s="80"/>
      <c r="C27" s="192"/>
      <c r="D27" s="193"/>
      <c r="E27" s="186"/>
      <c r="F27" s="187"/>
      <c r="G27" s="186"/>
      <c r="H27" s="187"/>
      <c r="I27" s="187"/>
      <c r="J27" s="188"/>
      <c r="K27" s="127"/>
      <c r="L27" s="90"/>
      <c r="M27" s="90"/>
      <c r="N27" s="111"/>
      <c r="O27" s="110"/>
      <c r="P27" s="109"/>
    </row>
    <row r="28" spans="1:19" s="63" customFormat="1" ht="18.75" customHeight="1">
      <c r="A28" s="79"/>
      <c r="B28" s="80"/>
      <c r="C28" s="192"/>
      <c r="D28" s="193"/>
      <c r="E28" s="186"/>
      <c r="F28" s="187"/>
      <c r="G28" s="186"/>
      <c r="H28" s="187"/>
      <c r="I28" s="187"/>
      <c r="J28" s="188"/>
      <c r="K28" s="127"/>
      <c r="L28" s="90"/>
      <c r="M28" s="90"/>
      <c r="N28" s="111"/>
      <c r="O28" s="110"/>
      <c r="P28" s="109"/>
    </row>
    <row r="29" spans="1:19" s="63" customFormat="1" ht="18.75" customHeight="1">
      <c r="A29" s="79"/>
      <c r="B29" s="80"/>
      <c r="C29" s="192"/>
      <c r="D29" s="193"/>
      <c r="E29" s="186"/>
      <c r="F29" s="187"/>
      <c r="G29" s="186"/>
      <c r="H29" s="187"/>
      <c r="I29" s="187"/>
      <c r="J29" s="188"/>
      <c r="K29" s="127"/>
      <c r="L29" s="90"/>
      <c r="M29" s="90"/>
      <c r="N29" s="111"/>
      <c r="O29" s="110"/>
      <c r="P29" s="109"/>
    </row>
    <row r="30" spans="1:19" s="63" customFormat="1" ht="18.75" customHeight="1">
      <c r="A30" s="79"/>
      <c r="B30" s="80"/>
      <c r="C30" s="192"/>
      <c r="D30" s="193"/>
      <c r="E30" s="186"/>
      <c r="F30" s="187"/>
      <c r="G30" s="186"/>
      <c r="H30" s="187"/>
      <c r="I30" s="187"/>
      <c r="J30" s="188"/>
      <c r="K30" s="127"/>
      <c r="L30" s="90"/>
      <c r="M30" s="90"/>
      <c r="N30" s="111"/>
      <c r="O30" s="110"/>
      <c r="P30" s="109"/>
    </row>
    <row r="31" spans="1:19" s="63" customFormat="1" ht="18.75" customHeight="1">
      <c r="A31" s="79"/>
      <c r="B31" s="80"/>
      <c r="C31" s="192"/>
      <c r="D31" s="193"/>
      <c r="E31" s="186"/>
      <c r="F31" s="187"/>
      <c r="G31" s="186"/>
      <c r="H31" s="187"/>
      <c r="I31" s="187"/>
      <c r="J31" s="188"/>
      <c r="K31" s="127"/>
      <c r="L31" s="90"/>
      <c r="M31" s="90"/>
      <c r="N31" s="111"/>
      <c r="O31" s="110"/>
      <c r="P31" s="109"/>
    </row>
    <row r="32" spans="1:19" s="63" customFormat="1" ht="18.75" customHeight="1">
      <c r="A32" s="79"/>
      <c r="B32" s="80"/>
      <c r="C32" s="192"/>
      <c r="D32" s="193"/>
      <c r="E32" s="186"/>
      <c r="F32" s="187"/>
      <c r="G32" s="186"/>
      <c r="H32" s="187"/>
      <c r="I32" s="187"/>
      <c r="J32" s="188"/>
      <c r="K32" s="127"/>
      <c r="L32" s="90"/>
      <c r="M32" s="90"/>
      <c r="N32" s="111"/>
      <c r="O32" s="110"/>
      <c r="P32" s="109"/>
    </row>
    <row r="33" spans="1:21" s="63" customFormat="1" ht="18.75" customHeight="1">
      <c r="A33" s="79"/>
      <c r="B33" s="80"/>
      <c r="C33" s="192"/>
      <c r="D33" s="193"/>
      <c r="E33" s="186"/>
      <c r="F33" s="187"/>
      <c r="G33" s="186"/>
      <c r="H33" s="187"/>
      <c r="I33" s="187"/>
      <c r="J33" s="188"/>
      <c r="K33" s="127"/>
      <c r="L33" s="90"/>
      <c r="M33" s="90"/>
      <c r="N33" s="111"/>
      <c r="O33" s="110"/>
      <c r="P33" s="109"/>
    </row>
    <row r="34" spans="1:21" s="63" customFormat="1" ht="18.75" customHeight="1">
      <c r="A34" s="79"/>
      <c r="B34" s="80"/>
      <c r="C34" s="192"/>
      <c r="D34" s="193"/>
      <c r="E34" s="186"/>
      <c r="F34" s="187"/>
      <c r="G34" s="186"/>
      <c r="H34" s="187"/>
      <c r="I34" s="187"/>
      <c r="J34" s="188"/>
      <c r="K34" s="127"/>
      <c r="L34" s="90"/>
      <c r="M34" s="90"/>
      <c r="N34" s="111"/>
      <c r="O34" s="110"/>
      <c r="P34" s="109"/>
    </row>
    <row r="35" spans="1:21" s="63" customFormat="1" ht="18.75" customHeight="1">
      <c r="A35" s="79"/>
      <c r="B35" s="80"/>
      <c r="C35" s="192"/>
      <c r="D35" s="193"/>
      <c r="E35" s="186"/>
      <c r="F35" s="187"/>
      <c r="G35" s="186"/>
      <c r="H35" s="187"/>
      <c r="I35" s="187"/>
      <c r="J35" s="188"/>
      <c r="K35" s="127"/>
      <c r="L35" s="90"/>
      <c r="M35" s="90"/>
      <c r="N35" s="111"/>
      <c r="O35" s="110"/>
      <c r="P35" s="109"/>
    </row>
    <row r="36" spans="1:21" s="63" customFormat="1" ht="18.75" customHeight="1">
      <c r="A36" s="79"/>
      <c r="B36" s="80"/>
      <c r="C36" s="192"/>
      <c r="D36" s="193"/>
      <c r="E36" s="186"/>
      <c r="F36" s="187"/>
      <c r="G36" s="186"/>
      <c r="H36" s="187"/>
      <c r="I36" s="187"/>
      <c r="J36" s="188"/>
      <c r="K36" s="127"/>
      <c r="L36" s="90"/>
      <c r="M36" s="90"/>
      <c r="N36" s="111"/>
      <c r="O36" s="110"/>
      <c r="P36" s="109"/>
    </row>
    <row r="37" spans="1:21" s="63" customFormat="1" ht="18.75" customHeight="1">
      <c r="A37" s="79"/>
      <c r="B37" s="80"/>
      <c r="C37" s="192"/>
      <c r="D37" s="193"/>
      <c r="E37" s="186"/>
      <c r="F37" s="187"/>
      <c r="G37" s="186"/>
      <c r="H37" s="187"/>
      <c r="I37" s="187"/>
      <c r="J37" s="188"/>
      <c r="K37" s="127"/>
      <c r="L37" s="90"/>
      <c r="M37" s="90"/>
      <c r="N37" s="111"/>
      <c r="O37" s="110"/>
      <c r="P37" s="109"/>
    </row>
    <row r="38" spans="1:21" s="63" customFormat="1" ht="18.75" customHeight="1">
      <c r="A38" s="79"/>
      <c r="B38" s="80"/>
      <c r="C38" s="192"/>
      <c r="D38" s="193"/>
      <c r="E38" s="186"/>
      <c r="F38" s="187"/>
      <c r="G38" s="186"/>
      <c r="H38" s="187"/>
      <c r="I38" s="187"/>
      <c r="J38" s="188"/>
      <c r="K38" s="127"/>
      <c r="L38" s="90"/>
      <c r="M38" s="90"/>
      <c r="N38" s="111"/>
      <c r="O38" s="110"/>
      <c r="P38" s="109"/>
    </row>
    <row r="39" spans="1:21" s="63" customFormat="1" ht="18.75" customHeight="1">
      <c r="A39" s="79"/>
      <c r="B39" s="80"/>
      <c r="C39" s="192"/>
      <c r="D39" s="193"/>
      <c r="E39" s="186"/>
      <c r="F39" s="187"/>
      <c r="G39" s="186"/>
      <c r="H39" s="187"/>
      <c r="I39" s="187"/>
      <c r="J39" s="188"/>
      <c r="K39" s="127"/>
      <c r="L39" s="90"/>
      <c r="M39" s="90"/>
      <c r="N39" s="111"/>
      <c r="O39" s="110"/>
      <c r="P39" s="109"/>
    </row>
    <row r="40" spans="1:21" s="63" customFormat="1" ht="18.75" customHeight="1">
      <c r="A40" s="79"/>
      <c r="B40" s="80"/>
      <c r="C40" s="192"/>
      <c r="D40" s="193"/>
      <c r="E40" s="186"/>
      <c r="F40" s="187"/>
      <c r="G40" s="186"/>
      <c r="H40" s="187"/>
      <c r="I40" s="187"/>
      <c r="J40" s="188"/>
      <c r="K40" s="127"/>
      <c r="L40" s="90"/>
      <c r="M40" s="90"/>
      <c r="N40" s="111"/>
      <c r="O40" s="110"/>
      <c r="P40" s="109"/>
    </row>
    <row r="41" spans="1:21" s="63" customFormat="1" ht="18.75" customHeight="1">
      <c r="A41" s="79"/>
      <c r="B41" s="80"/>
      <c r="C41" s="192"/>
      <c r="D41" s="193"/>
      <c r="E41" s="186"/>
      <c r="F41" s="187"/>
      <c r="G41" s="186"/>
      <c r="H41" s="187"/>
      <c r="I41" s="187"/>
      <c r="J41" s="188"/>
      <c r="K41" s="127"/>
      <c r="L41" s="90"/>
      <c r="M41" s="90"/>
      <c r="N41" s="111"/>
      <c r="O41" s="110"/>
      <c r="P41" s="109"/>
    </row>
    <row r="42" spans="1:21" s="63" customFormat="1" ht="18.75" customHeight="1">
      <c r="A42" s="79"/>
      <c r="B42" s="80"/>
      <c r="C42" s="192"/>
      <c r="D42" s="193"/>
      <c r="E42" s="186"/>
      <c r="F42" s="187"/>
      <c r="G42" s="186"/>
      <c r="H42" s="187"/>
      <c r="I42" s="187"/>
      <c r="J42" s="188"/>
      <c r="K42" s="127"/>
      <c r="L42" s="90"/>
      <c r="M42" s="90"/>
      <c r="N42" s="111"/>
      <c r="O42" s="110"/>
      <c r="P42" s="109"/>
    </row>
    <row r="43" spans="1:21" s="63" customFormat="1" ht="18.75" customHeight="1">
      <c r="A43" s="79"/>
      <c r="B43" s="80"/>
      <c r="C43" s="192"/>
      <c r="D43" s="193"/>
      <c r="E43" s="186"/>
      <c r="F43" s="187"/>
      <c r="G43" s="186"/>
      <c r="H43" s="187"/>
      <c r="I43" s="187"/>
      <c r="J43" s="188"/>
      <c r="K43" s="127"/>
      <c r="L43" s="90"/>
      <c r="M43" s="90"/>
      <c r="N43" s="111"/>
      <c r="O43" s="110"/>
      <c r="P43" s="109"/>
    </row>
    <row r="44" spans="1:21" s="63" customFormat="1" ht="18.75" customHeight="1">
      <c r="A44" s="79"/>
      <c r="B44" s="80"/>
      <c r="C44" s="192"/>
      <c r="D44" s="193"/>
      <c r="E44" s="186"/>
      <c r="F44" s="187"/>
      <c r="G44" s="186"/>
      <c r="H44" s="187"/>
      <c r="I44" s="187"/>
      <c r="J44" s="188"/>
      <c r="K44" s="127"/>
      <c r="L44" s="90"/>
      <c r="M44" s="90"/>
      <c r="N44" s="111"/>
      <c r="O44" s="110"/>
      <c r="P44" s="109"/>
    </row>
    <row r="45" spans="1:21" s="63" customFormat="1" ht="18.75" customHeight="1">
      <c r="A45" s="79"/>
      <c r="B45" s="80"/>
      <c r="C45" s="192"/>
      <c r="D45" s="193"/>
      <c r="E45" s="186"/>
      <c r="F45" s="187"/>
      <c r="G45" s="186"/>
      <c r="H45" s="187"/>
      <c r="I45" s="187"/>
      <c r="J45" s="188"/>
      <c r="K45" s="127"/>
      <c r="L45" s="90"/>
      <c r="M45" s="90"/>
      <c r="N45" s="111"/>
      <c r="O45" s="110"/>
      <c r="P45" s="109"/>
    </row>
    <row r="46" spans="1:21" s="63" customFormat="1" ht="18" customHeight="1">
      <c r="A46" s="79"/>
      <c r="B46" s="80"/>
      <c r="C46" s="192"/>
      <c r="D46" s="193"/>
      <c r="E46" s="186"/>
      <c r="F46" s="187"/>
      <c r="G46" s="186"/>
      <c r="H46" s="187"/>
      <c r="I46" s="187"/>
      <c r="J46" s="188"/>
      <c r="K46" s="127"/>
      <c r="L46" s="90"/>
      <c r="M46" s="90"/>
      <c r="N46" s="111"/>
      <c r="O46" s="110"/>
      <c r="P46" s="109"/>
    </row>
    <row r="47" spans="1:21" s="63" customFormat="1" ht="18" customHeight="1">
      <c r="A47" s="79"/>
      <c r="B47" s="80"/>
      <c r="C47" s="192"/>
      <c r="D47" s="193"/>
      <c r="E47" s="186"/>
      <c r="F47" s="187"/>
      <c r="G47" s="186"/>
      <c r="H47" s="187"/>
      <c r="I47" s="187"/>
      <c r="J47" s="188"/>
      <c r="K47" s="127"/>
      <c r="L47" s="90"/>
      <c r="M47" s="90"/>
      <c r="N47" s="111"/>
      <c r="O47" s="110"/>
      <c r="P47" s="109"/>
    </row>
    <row r="48" spans="1:21" s="63" customFormat="1" ht="18" customHeight="1">
      <c r="A48" s="79"/>
      <c r="B48" s="80"/>
      <c r="C48" s="194"/>
      <c r="D48" s="195"/>
      <c r="E48" s="189"/>
      <c r="F48" s="190"/>
      <c r="G48" s="189"/>
      <c r="H48" s="190"/>
      <c r="I48" s="190"/>
      <c r="J48" s="191"/>
      <c r="K48" s="127"/>
      <c r="L48" s="91"/>
      <c r="M48" s="92"/>
      <c r="N48" s="111"/>
      <c r="O48" s="110"/>
      <c r="P48" s="109"/>
      <c r="U48" s="115"/>
    </row>
    <row r="49" spans="1:122" s="63" customFormat="1" ht="18" customHeight="1">
      <c r="A49" s="79"/>
      <c r="B49" s="80"/>
      <c r="C49" s="179" t="s">
        <v>60</v>
      </c>
      <c r="D49" s="210"/>
      <c r="E49" s="210"/>
      <c r="F49" s="180"/>
      <c r="G49" s="206">
        <f>SUM(G17:J48)</f>
        <v>0</v>
      </c>
      <c r="H49" s="207"/>
      <c r="I49" s="207"/>
      <c r="J49" s="208"/>
      <c r="K49" s="82"/>
      <c r="L49" s="95"/>
      <c r="M49" s="95"/>
      <c r="N49" s="111"/>
      <c r="O49" s="110"/>
      <c r="P49" s="109"/>
    </row>
    <row r="50" spans="1:122" s="63" customFormat="1" ht="18" customHeight="1">
      <c r="A50" s="79"/>
      <c r="B50" s="80"/>
      <c r="C50" s="96"/>
      <c r="D50" s="96"/>
      <c r="E50" s="97"/>
      <c r="F50" s="97"/>
      <c r="G50" s="97"/>
      <c r="H50" s="97"/>
      <c r="J50" s="128"/>
      <c r="K50" s="127"/>
      <c r="L50" s="168"/>
      <c r="M50" s="168"/>
      <c r="N50" s="111"/>
      <c r="O50" s="110"/>
      <c r="P50" s="109"/>
    </row>
    <row r="51" spans="1:122" s="63" customFormat="1" ht="6" customHeight="1">
      <c r="A51" s="79"/>
      <c r="B51" s="98"/>
      <c r="C51" s="99"/>
      <c r="D51" s="99"/>
      <c r="E51" s="100"/>
      <c r="F51" s="100"/>
      <c r="G51" s="100"/>
      <c r="H51" s="100"/>
      <c r="I51" s="100"/>
      <c r="J51" s="100"/>
      <c r="K51" s="101"/>
      <c r="L51" s="102"/>
      <c r="O51" s="110"/>
      <c r="P51" s="109"/>
    </row>
    <row r="52" spans="1:122" s="63" customFormat="1" ht="16.5" customHeight="1">
      <c r="A52" s="79"/>
      <c r="B52" s="103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10"/>
      <c r="P52" s="109"/>
    </row>
    <row r="53" spans="1:122" s="63" customFormat="1" ht="18" customHeight="1">
      <c r="A53" s="79"/>
      <c r="B53" s="103"/>
      <c r="C53" s="104"/>
      <c r="D53" s="104"/>
      <c r="E53" s="104"/>
      <c r="F53" s="104"/>
      <c r="G53" s="104"/>
      <c r="H53" s="104"/>
      <c r="J53" s="104"/>
      <c r="K53" s="104"/>
      <c r="L53" s="104"/>
      <c r="N53" s="104"/>
      <c r="O53" s="110"/>
      <c r="P53" s="109"/>
    </row>
    <row r="54" spans="1:122" s="63" customFormat="1" ht="12" customHeight="1">
      <c r="A54" s="79"/>
      <c r="B54" s="103"/>
      <c r="C54" s="103"/>
      <c r="D54" s="103"/>
      <c r="E54" s="103"/>
      <c r="F54" s="103"/>
      <c r="G54" s="103"/>
      <c r="H54" s="103"/>
      <c r="I54" s="103"/>
      <c r="J54" s="105"/>
      <c r="K54" s="103"/>
      <c r="L54" s="103"/>
      <c r="M54" s="103"/>
      <c r="N54" s="103"/>
      <c r="O54" s="110"/>
      <c r="P54" s="109"/>
    </row>
    <row r="55" spans="1:122" s="63" customFormat="1" ht="17.25" customHeight="1">
      <c r="A55" s="79"/>
      <c r="B55" s="107"/>
      <c r="C55" s="107"/>
      <c r="D55" s="107"/>
      <c r="E55" s="107"/>
      <c r="F55" s="107"/>
      <c r="G55" s="107"/>
      <c r="H55" s="107"/>
      <c r="I55" s="107"/>
      <c r="J55" s="106" t="s">
        <v>13</v>
      </c>
      <c r="K55" s="107"/>
      <c r="L55" s="107"/>
      <c r="M55" s="107"/>
      <c r="N55" s="107"/>
      <c r="O55" s="110"/>
      <c r="P55" s="109"/>
    </row>
    <row r="56" spans="1:122" ht="14.25" customHeight="1">
      <c r="A56" s="78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</row>
    <row r="57" spans="1:122" ht="9.75" hidden="1" customHeight="1">
      <c r="A57" s="78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3"/>
      <c r="AL57" s="103"/>
      <c r="AM57" s="103"/>
      <c r="AN57" s="103"/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  <c r="CJ57" s="103"/>
      <c r="CK57" s="103"/>
      <c r="CL57" s="103"/>
      <c r="CM57" s="103"/>
      <c r="CN57" s="103"/>
      <c r="CO57" s="103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103"/>
      <c r="DM57" s="103"/>
      <c r="DN57" s="103"/>
      <c r="DO57" s="103"/>
      <c r="DP57" s="103"/>
      <c r="DQ57" s="103"/>
      <c r="DR57" s="103"/>
    </row>
    <row r="58" spans="1:122">
      <c r="A58" s="7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</row>
  </sheetData>
  <mergeCells count="117">
    <mergeCell ref="C38:D38"/>
    <mergeCell ref="G49:J49"/>
    <mergeCell ref="C14:K14"/>
    <mergeCell ref="L15:M15"/>
    <mergeCell ref="C24:D24"/>
    <mergeCell ref="C25:D25"/>
    <mergeCell ref="C26:D26"/>
    <mergeCell ref="C27:D27"/>
    <mergeCell ref="C15:F15"/>
    <mergeCell ref="G15:J15"/>
    <mergeCell ref="C17:D17"/>
    <mergeCell ref="C18:D18"/>
    <mergeCell ref="C19:D19"/>
    <mergeCell ref="C20:D20"/>
    <mergeCell ref="C21:D21"/>
    <mergeCell ref="E18:F18"/>
    <mergeCell ref="E19:F19"/>
    <mergeCell ref="E20:F20"/>
    <mergeCell ref="E21:F21"/>
    <mergeCell ref="E29:F29"/>
    <mergeCell ref="C22:D22"/>
    <mergeCell ref="C23:D23"/>
    <mergeCell ref="C49:F49"/>
    <mergeCell ref="C40:D40"/>
    <mergeCell ref="E40:F40"/>
    <mergeCell ref="C33:D33"/>
    <mergeCell ref="B4:C4"/>
    <mergeCell ref="D4:K4"/>
    <mergeCell ref="C6:D6"/>
    <mergeCell ref="E6:J6"/>
    <mergeCell ref="C7:D7"/>
    <mergeCell ref="E7:J7"/>
    <mergeCell ref="C39:D39"/>
    <mergeCell ref="C28:D28"/>
    <mergeCell ref="C29:D29"/>
    <mergeCell ref="C30:D30"/>
    <mergeCell ref="E22:F22"/>
    <mergeCell ref="E23:F23"/>
    <mergeCell ref="G17:J17"/>
    <mergeCell ref="G18:J18"/>
    <mergeCell ref="G19:J19"/>
    <mergeCell ref="G20:J20"/>
    <mergeCell ref="G21:J21"/>
    <mergeCell ref="G22:J22"/>
    <mergeCell ref="E36:F36"/>
    <mergeCell ref="E37:F37"/>
    <mergeCell ref="E38:F38"/>
    <mergeCell ref="E39:F39"/>
    <mergeCell ref="C34:D34"/>
    <mergeCell ref="C35:D35"/>
    <mergeCell ref="C36:D36"/>
    <mergeCell ref="C37:D37"/>
    <mergeCell ref="L50:M50"/>
    <mergeCell ref="C16:D16"/>
    <mergeCell ref="E16:F16"/>
    <mergeCell ref="G16:J16"/>
    <mergeCell ref="C8:D8"/>
    <mergeCell ref="E8:J8"/>
    <mergeCell ref="C9:D9"/>
    <mergeCell ref="E9:J9"/>
    <mergeCell ref="B13:C13"/>
    <mergeCell ref="D13:K13"/>
    <mergeCell ref="E31:F31"/>
    <mergeCell ref="E32:F32"/>
    <mergeCell ref="E33:F33"/>
    <mergeCell ref="E34:F34"/>
    <mergeCell ref="E35:F35"/>
    <mergeCell ref="E24:F24"/>
    <mergeCell ref="E25:F25"/>
    <mergeCell ref="E26:F26"/>
    <mergeCell ref="E27:F27"/>
    <mergeCell ref="E28:F28"/>
    <mergeCell ref="G35:J35"/>
    <mergeCell ref="G36:J36"/>
    <mergeCell ref="G37:J37"/>
    <mergeCell ref="G38:J38"/>
    <mergeCell ref="G39:J39"/>
    <mergeCell ref="G40:J40"/>
    <mergeCell ref="G29:J29"/>
    <mergeCell ref="G30:J30"/>
    <mergeCell ref="G31:J31"/>
    <mergeCell ref="G32:J32"/>
    <mergeCell ref="G33:J33"/>
    <mergeCell ref="G34:J34"/>
    <mergeCell ref="C31:D31"/>
    <mergeCell ref="C32:D32"/>
    <mergeCell ref="G23:J23"/>
    <mergeCell ref="G24:J24"/>
    <mergeCell ref="G25:J25"/>
    <mergeCell ref="G26:J26"/>
    <mergeCell ref="G27:J27"/>
    <mergeCell ref="G28:J28"/>
    <mergeCell ref="E30:F30"/>
    <mergeCell ref="G47:J47"/>
    <mergeCell ref="G48:J48"/>
    <mergeCell ref="G41:J41"/>
    <mergeCell ref="G42:J42"/>
    <mergeCell ref="G43:J43"/>
    <mergeCell ref="G44:J44"/>
    <mergeCell ref="G45:J45"/>
    <mergeCell ref="G46:J46"/>
    <mergeCell ref="C47:D47"/>
    <mergeCell ref="C48:D48"/>
    <mergeCell ref="E48:F48"/>
    <mergeCell ref="E42:F42"/>
    <mergeCell ref="E43:F43"/>
    <mergeCell ref="E44:F44"/>
    <mergeCell ref="E45:F45"/>
    <mergeCell ref="E46:F46"/>
    <mergeCell ref="E47:F47"/>
    <mergeCell ref="C46:D46"/>
    <mergeCell ref="C42:D42"/>
    <mergeCell ref="C43:D43"/>
    <mergeCell ref="C44:D44"/>
    <mergeCell ref="C45:D45"/>
    <mergeCell ref="E41:F41"/>
    <mergeCell ref="C41:D41"/>
  </mergeCells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Resumen</vt:lpstr>
      <vt:lpstr>Prod</vt:lpstr>
      <vt:lpstr>Cliente</vt:lpstr>
      <vt:lpstr>Serv</vt:lpstr>
      <vt:lpstr>ASIS</vt:lpstr>
      <vt:lpstr>Rechazo</vt:lpstr>
      <vt:lpstr>ASIS!Área_de_impresión</vt:lpstr>
      <vt:lpstr>Cliente!Área_de_impresión</vt:lpstr>
      <vt:lpstr>Prod!Área_de_impresión</vt:lpstr>
      <vt:lpstr>Rechazo!Área_de_impresión</vt:lpstr>
      <vt:lpstr>Resumen!Área_de_impresión</vt:lpstr>
      <vt:lpstr>Serv!Área_de_impresión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ALVIAL</dc:creator>
  <cp:lastModifiedBy>KB</cp:lastModifiedBy>
  <cp:lastPrinted>2016-09-30T19:43:47Z</cp:lastPrinted>
  <dcterms:created xsi:type="dcterms:W3CDTF">2016-09-26T16:11:32Z</dcterms:created>
  <dcterms:modified xsi:type="dcterms:W3CDTF">2019-10-09T13:50:02Z</dcterms:modified>
</cp:coreProperties>
</file>